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049D91A2-0A03-48ED-AFA4-04966214ED28}" xr6:coauthVersionLast="47" xr6:coauthVersionMax="47" xr10:uidLastSave="{00000000-0000-0000-0000-000000000000}"/>
  <bookViews>
    <workbookView xWindow="-110" yWindow="-110" windowWidth="19420" windowHeight="10420" firstSheet="1" activeTab="6" xr2:uid="{00000000-000D-0000-FFFF-FFFF00000000}"/>
  </bookViews>
  <sheets>
    <sheet name="Consolidate rows" sheetId="1" r:id="rId1"/>
    <sheet name="Consolidate columns" sheetId="2" r:id="rId2"/>
    <sheet name="Report 1" sheetId="3" r:id="rId3"/>
    <sheet name="Report 2" sheetId="4" r:id="rId4"/>
    <sheet name="Report 3" sheetId="5" r:id="rId5"/>
    <sheet name="static" sheetId="6" r:id="rId6"/>
    <sheet name="dynam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IjkvgmQlpnEpWNt5lwlPTrC5S1STQjqoJPq6NGlglog="/>
    </ext>
  </extLst>
</workbook>
</file>

<file path=xl/calcChain.xml><?xml version="1.0" encoding="utf-8"?>
<calcChain xmlns="http://schemas.openxmlformats.org/spreadsheetml/2006/main">
  <c r="G4" i="7" l="1"/>
  <c r="H4" i="7"/>
  <c r="I4" i="7"/>
  <c r="G5" i="7"/>
  <c r="H5" i="7"/>
  <c r="I5" i="7"/>
  <c r="G6" i="7"/>
  <c r="H6" i="7"/>
  <c r="I6" i="7"/>
  <c r="G7" i="7"/>
  <c r="H7" i="7"/>
  <c r="I7" i="7"/>
  <c r="G8" i="7"/>
  <c r="H8" i="7"/>
  <c r="I8" i="7"/>
  <c r="G9" i="7"/>
  <c r="H9" i="7"/>
  <c r="I9" i="7"/>
  <c r="G10" i="7"/>
  <c r="H10" i="7"/>
  <c r="I10" i="7"/>
  <c r="G11" i="7"/>
  <c r="H11" i="7"/>
  <c r="I11" i="7"/>
  <c r="G12" i="7"/>
  <c r="I12" i="7"/>
  <c r="G13" i="7"/>
  <c r="I13" i="7"/>
  <c r="G14" i="7"/>
  <c r="H14" i="7"/>
  <c r="I14" i="7"/>
  <c r="G15" i="7"/>
  <c r="H15" i="7"/>
  <c r="I15" i="7"/>
  <c r="G16" i="7"/>
  <c r="H16" i="7"/>
  <c r="I16" i="7"/>
  <c r="G17" i="7"/>
  <c r="H17" i="7"/>
  <c r="G18" i="7"/>
  <c r="H18" i="7"/>
  <c r="I18" i="7"/>
  <c r="G19" i="7"/>
  <c r="H19" i="7"/>
  <c r="I19" i="7"/>
  <c r="G20" i="7"/>
  <c r="H20" i="7"/>
  <c r="I20" i="7"/>
  <c r="G21" i="7"/>
  <c r="H21" i="7"/>
  <c r="I21" i="7"/>
  <c r="G22" i="7"/>
  <c r="H22" i="7"/>
  <c r="I22" i="7"/>
  <c r="G23" i="7"/>
  <c r="H23" i="7"/>
  <c r="I23" i="7"/>
  <c r="G24" i="7"/>
  <c r="G27" i="7" s="1"/>
  <c r="H24" i="7"/>
  <c r="H27" i="7" s="1"/>
  <c r="I24" i="7"/>
  <c r="I27" i="7" s="1"/>
  <c r="G25" i="7"/>
  <c r="H25" i="7"/>
  <c r="I25" i="7"/>
  <c r="G26" i="7"/>
  <c r="H26" i="7"/>
  <c r="I26" i="7"/>
  <c r="G28" i="7"/>
  <c r="H28" i="7"/>
  <c r="I28" i="7"/>
  <c r="G29" i="7"/>
  <c r="H29" i="7"/>
  <c r="I29" i="7"/>
  <c r="G30" i="7"/>
  <c r="H30" i="7"/>
  <c r="I30" i="7"/>
  <c r="G31" i="7"/>
  <c r="H31" i="7"/>
  <c r="I31" i="7"/>
  <c r="G32" i="7"/>
  <c r="H32" i="7"/>
  <c r="I32" i="7"/>
  <c r="G33" i="7"/>
  <c r="H33" i="7"/>
  <c r="I33" i="7"/>
  <c r="G34" i="7"/>
  <c r="H34" i="7"/>
  <c r="I34" i="7"/>
  <c r="G35" i="7"/>
  <c r="H35" i="7"/>
  <c r="I35" i="7"/>
  <c r="G36" i="7"/>
  <c r="H36" i="7"/>
  <c r="I36" i="7"/>
  <c r="G37" i="7"/>
  <c r="H37" i="7"/>
  <c r="I37" i="7"/>
  <c r="G38" i="7"/>
  <c r="H38" i="7"/>
  <c r="I38" i="7"/>
  <c r="G39" i="7"/>
  <c r="H39" i="7"/>
  <c r="I39" i="7"/>
  <c r="G40" i="7"/>
  <c r="I40" i="7"/>
  <c r="G41" i="7"/>
  <c r="H41" i="7"/>
  <c r="I41" i="7"/>
  <c r="G42" i="7"/>
  <c r="H42" i="7"/>
  <c r="I42" i="7"/>
  <c r="G43" i="7"/>
  <c r="H43" i="7"/>
  <c r="I43" i="7"/>
  <c r="G44" i="7"/>
  <c r="H44" i="7"/>
  <c r="I44" i="7"/>
  <c r="G45" i="7"/>
  <c r="H45" i="7"/>
  <c r="I45" i="7"/>
  <c r="G46" i="7"/>
  <c r="H46" i="7"/>
  <c r="I46" i="7"/>
  <c r="G47" i="7"/>
  <c r="H47" i="7"/>
  <c r="I47" i="7"/>
  <c r="G48" i="7"/>
  <c r="G51" i="7" s="1"/>
  <c r="H48" i="7"/>
  <c r="H51" i="7" s="1"/>
  <c r="I48" i="7"/>
  <c r="I51" i="7" s="1"/>
  <c r="G49" i="7"/>
  <c r="H49" i="7"/>
  <c r="I49" i="7"/>
  <c r="G50" i="7"/>
  <c r="H50" i="7"/>
  <c r="I50" i="7"/>
  <c r="G52" i="7"/>
  <c r="H52" i="7"/>
  <c r="I52" i="7"/>
  <c r="G53" i="7"/>
  <c r="H53" i="7"/>
  <c r="I53" i="7"/>
  <c r="G54" i="7"/>
  <c r="H54" i="7"/>
  <c r="I54" i="7"/>
  <c r="G55" i="7"/>
  <c r="H55" i="7"/>
  <c r="I55" i="7"/>
  <c r="G56" i="7"/>
  <c r="H56" i="7"/>
  <c r="I56" i="7"/>
  <c r="G57" i="7"/>
  <c r="H57" i="7"/>
  <c r="I57" i="7"/>
  <c r="G58" i="7"/>
  <c r="H58" i="7"/>
  <c r="I58" i="7"/>
  <c r="G59" i="7"/>
  <c r="H59" i="7"/>
  <c r="I59" i="7"/>
  <c r="G60" i="7"/>
  <c r="H60" i="7"/>
  <c r="I60" i="7"/>
  <c r="G61" i="7"/>
  <c r="H61" i="7"/>
  <c r="I61" i="7"/>
  <c r="G62" i="7"/>
  <c r="H62" i="7"/>
  <c r="I62" i="7"/>
  <c r="G63" i="7"/>
  <c r="H63" i="7"/>
  <c r="I63" i="7"/>
  <c r="G64" i="7"/>
  <c r="H64" i="7"/>
  <c r="I64" i="7"/>
  <c r="G65" i="7"/>
  <c r="H65" i="7"/>
  <c r="I65" i="7"/>
  <c r="H66" i="7"/>
  <c r="I66" i="7"/>
  <c r="G67" i="7"/>
  <c r="H67" i="7"/>
  <c r="I67" i="7"/>
  <c r="G68" i="7"/>
  <c r="H68" i="7"/>
  <c r="G69" i="7"/>
  <c r="H69" i="7"/>
  <c r="I69" i="7"/>
  <c r="G70" i="7"/>
  <c r="I70" i="7"/>
  <c r="G71" i="7"/>
  <c r="H71" i="7"/>
  <c r="I71" i="7"/>
  <c r="G72" i="7"/>
  <c r="H72" i="7"/>
  <c r="I72" i="7"/>
  <c r="G73" i="7"/>
  <c r="H73" i="7"/>
  <c r="I73" i="7"/>
  <c r="G74" i="7"/>
  <c r="H74" i="7"/>
  <c r="I74" i="7"/>
  <c r="G75" i="7"/>
  <c r="H75" i="7"/>
  <c r="I75" i="7"/>
  <c r="G76" i="7"/>
  <c r="H76" i="7"/>
  <c r="I76" i="7"/>
  <c r="G77" i="7"/>
  <c r="H77" i="7"/>
  <c r="I77" i="7"/>
  <c r="G78" i="7"/>
  <c r="H78" i="7"/>
  <c r="I78" i="7"/>
  <c r="G79" i="7"/>
  <c r="H79" i="7"/>
  <c r="I79" i="7"/>
  <c r="G80" i="7"/>
  <c r="H80" i="7"/>
  <c r="I80" i="7"/>
  <c r="G81" i="7"/>
  <c r="H81" i="7"/>
  <c r="I81" i="7"/>
  <c r="G82" i="7"/>
  <c r="H82" i="7"/>
  <c r="I82" i="7"/>
  <c r="G83" i="7"/>
  <c r="H83" i="7"/>
  <c r="I83" i="7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</calcChain>
</file>

<file path=xl/sharedStrings.xml><?xml version="1.0" encoding="utf-8"?>
<sst xmlns="http://schemas.openxmlformats.org/spreadsheetml/2006/main" count="233" uniqueCount="49">
  <si>
    <t>Consolidate rows in Excel with formulas</t>
  </si>
  <si>
    <t>Item</t>
  </si>
  <si>
    <t>Consolidate columns in Excel with formulas</t>
  </si>
  <si>
    <t>Jan</t>
  </si>
  <si>
    <t>Feb</t>
  </si>
  <si>
    <t>Mar</t>
  </si>
  <si>
    <t>Date</t>
  </si>
  <si>
    <t>Department</t>
  </si>
  <si>
    <t>Biscuits</t>
  </si>
  <si>
    <t>Waffles</t>
  </si>
  <si>
    <t>Total</t>
  </si>
  <si>
    <t>Amount</t>
  </si>
  <si>
    <t>Average</t>
  </si>
  <si>
    <t>Brownies</t>
  </si>
  <si>
    <t>Cakes</t>
  </si>
  <si>
    <t>Candy Bars</t>
  </si>
  <si>
    <t>Cheesecake</t>
  </si>
  <si>
    <t>Chocolate</t>
  </si>
  <si>
    <t>Cookies</t>
  </si>
  <si>
    <t>Croissants</t>
  </si>
  <si>
    <t>Tarts</t>
  </si>
  <si>
    <t>Cupcakes</t>
  </si>
  <si>
    <t>Donuts</t>
  </si>
  <si>
    <t>Sweets</t>
  </si>
  <si>
    <t>Fudge</t>
  </si>
  <si>
    <t>Pies</t>
  </si>
  <si>
    <t>Ice-cream</t>
  </si>
  <si>
    <t>Pastries</t>
  </si>
  <si>
    <t>Macarons</t>
  </si>
  <si>
    <t>Pancakes</t>
  </si>
  <si>
    <t>Muffins</t>
  </si>
  <si>
    <t>Administration</t>
  </si>
  <si>
    <t>Sales</t>
  </si>
  <si>
    <t>Customer Support</t>
  </si>
  <si>
    <t>Marketing</t>
  </si>
  <si>
    <t>Support</t>
  </si>
  <si>
    <t>Finance</t>
  </si>
  <si>
    <t>Human Resources</t>
  </si>
  <si>
    <t>Information Technology</t>
  </si>
  <si>
    <t>Legal</t>
  </si>
  <si>
    <t xml:space="preserve"> </t>
  </si>
  <si>
    <t>Logistics</t>
  </si>
  <si>
    <t>Operations</t>
  </si>
  <si>
    <t>Procurement</t>
  </si>
  <si>
    <t>Product Management</t>
  </si>
  <si>
    <t>Quality Assurance</t>
  </si>
  <si>
    <t>Research and Development</t>
  </si>
  <si>
    <t>Training and Development</t>
  </si>
  <si>
    <t>Excel-Consolidate-Data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</si>
</sst>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"/>
  </numFmts>
  <fonts count="6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Aptos Narrow"/>
    </font>
    <font>
      <sz val="11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E3F4D4"/>
        <bgColor rgb="FFE3F4D4"/>
      </patternFill>
    </fill>
    <fill>
      <patternFill patternType="solid">
        <fgColor rgb="FFFAE2D5"/>
        <bgColor rgb="FFFAE2D5"/>
      </patternFill>
    </fill>
  </fills>
  <borders count="33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/>
      <diagonal/>
    </border>
    <border>
      <left style="thin">
        <color rgb="FF8ED873"/>
      </left>
      <right/>
      <top style="thin">
        <color rgb="FF8ED873"/>
      </top>
      <bottom/>
      <diagonal/>
    </border>
    <border>
      <left/>
      <right/>
      <top/>
      <bottom style="thin">
        <color rgb="FF4D94D8"/>
      </bottom>
      <diagonal/>
    </border>
    <border>
      <left/>
      <right/>
      <top style="thin">
        <color rgb="FF45B0E1"/>
      </top>
      <bottom/>
      <diagonal/>
    </border>
    <border>
      <left/>
      <right/>
      <top style="thin">
        <color rgb="FF8ED873"/>
      </top>
      <bottom/>
      <diagonal/>
    </border>
    <border>
      <left/>
      <right style="thin">
        <color rgb="FF45B0E1"/>
      </right>
      <top style="thin">
        <color rgb="FF45B0E1"/>
      </top>
      <bottom/>
      <diagonal/>
    </border>
    <border>
      <left/>
      <right style="thin">
        <color rgb="FF8ED873"/>
      </right>
      <top style="thin">
        <color rgb="FF8ED873"/>
      </top>
      <bottom/>
      <diagonal/>
    </border>
    <border>
      <left style="thin">
        <color rgb="FF4D94D8"/>
      </left>
      <right/>
      <top style="thin">
        <color rgb="FF4D94D8"/>
      </top>
      <bottom/>
      <diagonal/>
    </border>
    <border>
      <left/>
      <right/>
      <top style="thin">
        <color rgb="FF4D94D8"/>
      </top>
      <bottom/>
      <diagonal/>
    </border>
    <border>
      <left style="thin">
        <color rgb="FF45B0E1"/>
      </left>
      <right/>
      <top/>
      <bottom/>
      <diagonal/>
    </border>
    <border>
      <left style="thin">
        <color rgb="FF8ED873"/>
      </left>
      <right/>
      <top/>
      <bottom/>
      <diagonal/>
    </border>
    <border>
      <left/>
      <right style="thin">
        <color rgb="FF45B0E1"/>
      </right>
      <top/>
      <bottom/>
      <diagonal/>
    </border>
    <border>
      <left/>
      <right style="thin">
        <color rgb="FF8ED873"/>
      </right>
      <top/>
      <bottom/>
      <diagonal/>
    </border>
    <border>
      <left/>
      <right style="thin">
        <color rgb="FF4D94D8"/>
      </right>
      <top style="thin">
        <color rgb="FF4D94D8"/>
      </top>
      <bottom/>
      <diagonal/>
    </border>
    <border>
      <left style="thin">
        <color rgb="FF45B0E1"/>
      </left>
      <right/>
      <top/>
      <bottom style="thin">
        <color rgb="FF45B0E1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4D94D8"/>
      </left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 style="thin">
        <color rgb="FF45B0E1"/>
      </right>
      <top/>
      <bottom style="thin">
        <color rgb="FF45B0E1"/>
      </bottom>
      <diagonal/>
    </border>
    <border>
      <left/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4D94D8"/>
      </right>
      <top/>
      <bottom/>
      <diagonal/>
    </border>
    <border>
      <left style="thin">
        <color rgb="FF4D94D8"/>
      </left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 style="thin">
        <color rgb="FFF1A983"/>
      </left>
      <right/>
      <top style="thin">
        <color rgb="FFF1A983"/>
      </top>
      <bottom/>
      <diagonal/>
    </border>
    <border>
      <left/>
      <right/>
      <top style="thin">
        <color rgb="FFF1A983"/>
      </top>
      <bottom/>
      <diagonal/>
    </border>
    <border>
      <left/>
      <right style="thin">
        <color rgb="FFF1A983"/>
      </right>
      <top style="thin">
        <color rgb="FFF1A983"/>
      </top>
      <bottom/>
      <diagonal/>
    </border>
    <border>
      <left style="thin">
        <color rgb="FFF1A983"/>
      </left>
      <right/>
      <top/>
      <bottom/>
      <diagonal/>
    </border>
    <border>
      <left/>
      <right style="thin">
        <color rgb="FFF1A983"/>
      </right>
      <top/>
      <bottom/>
      <diagonal/>
    </border>
    <border>
      <left style="thin">
        <color rgb="FFF1A983"/>
      </left>
      <right/>
      <top/>
      <bottom style="thin">
        <color rgb="FFF1A983"/>
      </bottom>
      <diagonal/>
    </border>
    <border>
      <left/>
      <right/>
      <top/>
      <bottom style="thin">
        <color rgb="FFF1A983"/>
      </bottom>
      <diagonal/>
    </border>
    <border>
      <left/>
      <right style="thin">
        <color rgb="FFF1A983"/>
      </right>
      <top/>
      <bottom style="thin">
        <color rgb="FFF1A98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4" xfId="0" applyFont="1" applyFill="1" applyBorder="1"/>
    <xf numFmtId="0" fontId="1" fillId="3" borderId="5" xfId="0" applyFont="1" applyFill="1" applyBorder="1"/>
    <xf numFmtId="0" fontId="2" fillId="0" borderId="0" xfId="0" applyFont="1" applyAlignment="1">
      <alignment vertical="center"/>
    </xf>
    <xf numFmtId="0" fontId="4" fillId="0" borderId="0" xfId="0" applyFont="1"/>
    <xf numFmtId="0" fontId="1" fillId="2" borderId="6" xfId="0" applyFont="1" applyFill="1" applyBorder="1"/>
    <xf numFmtId="0" fontId="1" fillId="3" borderId="7" xfId="0" applyFont="1" applyFill="1" applyBorder="1"/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4" fillId="0" borderId="10" xfId="0" applyFont="1" applyBorder="1"/>
    <xf numFmtId="164" fontId="4" fillId="0" borderId="0" xfId="0" applyNumberFormat="1" applyFont="1"/>
    <xf numFmtId="0" fontId="4" fillId="0" borderId="11" xfId="0" applyFont="1" applyBorder="1"/>
    <xf numFmtId="0" fontId="1" fillId="5" borderId="9" xfId="0" applyFont="1" applyFill="1" applyBorder="1"/>
    <xf numFmtId="164" fontId="4" fillId="0" borderId="12" xfId="0" applyNumberFormat="1" applyFont="1" applyBorder="1"/>
    <xf numFmtId="164" fontId="4" fillId="0" borderId="13" xfId="0" applyNumberFormat="1" applyFont="1" applyBorder="1"/>
    <xf numFmtId="0" fontId="1" fillId="4" borderId="14" xfId="0" applyFont="1" applyFill="1" applyBorder="1" applyAlignment="1">
      <alignment horizontal="left"/>
    </xf>
    <xf numFmtId="0" fontId="1" fillId="5" borderId="14" xfId="0" applyFont="1" applyFill="1" applyBorder="1"/>
    <xf numFmtId="0" fontId="1" fillId="3" borderId="2" xfId="0" applyFont="1" applyFill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" fillId="3" borderId="7" xfId="0" applyFont="1" applyFill="1" applyBorder="1" applyAlignment="1">
      <alignment horizontal="left"/>
    </xf>
    <xf numFmtId="164" fontId="4" fillId="0" borderId="18" xfId="0" applyNumberFormat="1" applyFont="1" applyBorder="1"/>
    <xf numFmtId="164" fontId="4" fillId="0" borderId="19" xfId="0" applyNumberFormat="1" applyFont="1" applyBorder="1"/>
    <xf numFmtId="164" fontId="4" fillId="0" borderId="20" xfId="0" applyNumberFormat="1" applyFont="1" applyBorder="1"/>
    <xf numFmtId="165" fontId="4" fillId="0" borderId="0" xfId="0" applyNumberFormat="1" applyFont="1"/>
    <xf numFmtId="16" fontId="4" fillId="0" borderId="17" xfId="0" applyNumberFormat="1" applyFont="1" applyBorder="1"/>
    <xf numFmtId="164" fontId="4" fillId="0" borderId="21" xfId="0" applyNumberFormat="1" applyFont="1" applyBorder="1"/>
    <xf numFmtId="165" fontId="4" fillId="0" borderId="22" xfId="0" applyNumberFormat="1" applyFont="1" applyBorder="1"/>
    <xf numFmtId="165" fontId="4" fillId="0" borderId="13" xfId="0" applyNumberFormat="1" applyFont="1" applyBorder="1"/>
    <xf numFmtId="165" fontId="4" fillId="0" borderId="21" xfId="0" applyNumberFormat="1" applyFont="1" applyBorder="1"/>
    <xf numFmtId="0" fontId="5" fillId="0" borderId="0" xfId="0" applyFont="1"/>
    <xf numFmtId="16" fontId="4" fillId="0" borderId="23" xfId="0" applyNumberFormat="1" applyFont="1" applyBorder="1"/>
    <xf numFmtId="0" fontId="4" fillId="0" borderId="3" xfId="0" applyFont="1" applyBorder="1"/>
    <xf numFmtId="165" fontId="4" fillId="0" borderId="24" xfId="0" applyNumberFormat="1" applyFont="1" applyBorder="1"/>
    <xf numFmtId="0" fontId="4" fillId="0" borderId="23" xfId="0" applyFont="1" applyBorder="1"/>
    <xf numFmtId="165" fontId="4" fillId="0" borderId="3" xfId="0" applyNumberFormat="1" applyFont="1" applyBorder="1"/>
    <xf numFmtId="0" fontId="1" fillId="6" borderId="25" xfId="0" applyFont="1" applyFill="1" applyBorder="1"/>
    <xf numFmtId="0" fontId="1" fillId="6" borderId="26" xfId="0" applyFont="1" applyFill="1" applyBorder="1"/>
    <xf numFmtId="0" fontId="1" fillId="6" borderId="27" xfId="0" applyFont="1" applyFill="1" applyBorder="1"/>
    <xf numFmtId="0" fontId="4" fillId="0" borderId="0" xfId="0" applyFont="1" applyAlignment="1">
      <alignment horizontal="center"/>
    </xf>
    <xf numFmtId="0" fontId="4" fillId="0" borderId="28" xfId="0" applyFont="1" applyBorder="1"/>
    <xf numFmtId="164" fontId="4" fillId="0" borderId="29" xfId="0" applyNumberFormat="1" applyFont="1" applyBorder="1"/>
    <xf numFmtId="0" fontId="4" fillId="0" borderId="30" xfId="0" applyFont="1" applyBorder="1"/>
    <xf numFmtId="164" fontId="4" fillId="0" borderId="31" xfId="0" applyNumberFormat="1" applyFont="1" applyBorder="1"/>
    <xf numFmtId="164" fontId="4" fillId="0" borderId="32" xfId="0" applyNumberFormat="1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3" sqref="E3:F6"/>
    </sheetView>
  </sheetViews>
  <sheetFormatPr defaultColWidth="12.6328125" defaultRowHeight="15" customHeight="1" x14ac:dyDescent="0.35"/>
  <cols>
    <col min="1" max="2" width="20" customWidth="1"/>
    <col min="3" max="3" width="19" customWidth="1"/>
    <col min="4" max="4" width="19.08984375" customWidth="1"/>
    <col min="5" max="5" width="21.26953125" customWidth="1"/>
    <col min="6" max="6" width="20.6328125" customWidth="1"/>
    <col min="7" max="7" width="13.90625" customWidth="1"/>
    <col min="8" max="26" width="9.08984375" customWidth="1"/>
  </cols>
  <sheetData>
    <row r="1" spans="1:26" ht="34.5" customHeight="1" x14ac:dyDescent="0.35">
      <c r="A1" s="50" t="s">
        <v>0</v>
      </c>
      <c r="B1" s="51"/>
      <c r="C1" s="51"/>
      <c r="D1" s="51"/>
      <c r="E1" s="51"/>
      <c r="F1" s="51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9" t="s">
        <v>6</v>
      </c>
      <c r="B2" s="10" t="s">
        <v>7</v>
      </c>
      <c r="C2" s="17" t="s">
        <v>11</v>
      </c>
      <c r="D2" s="6"/>
      <c r="E2" s="19" t="s">
        <v>7</v>
      </c>
      <c r="F2" s="23" t="s">
        <v>11</v>
      </c>
      <c r="G2" s="6"/>
      <c r="H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 x14ac:dyDescent="0.35">
      <c r="A3" s="28">
        <v>45658</v>
      </c>
      <c r="B3" s="6" t="s">
        <v>32</v>
      </c>
      <c r="C3" s="30">
        <v>1250</v>
      </c>
      <c r="D3" s="6"/>
      <c r="E3" s="13" t="s">
        <v>32</v>
      </c>
      <c r="F3" s="31">
        <v>10960</v>
      </c>
      <c r="G3" s="6"/>
      <c r="H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 x14ac:dyDescent="0.35">
      <c r="A4" s="28">
        <v>45658</v>
      </c>
      <c r="B4" s="6" t="s">
        <v>34</v>
      </c>
      <c r="C4" s="30">
        <v>980</v>
      </c>
      <c r="D4" s="6"/>
      <c r="E4" s="13" t="s">
        <v>34</v>
      </c>
      <c r="F4" s="31">
        <v>5280</v>
      </c>
      <c r="G4" s="6"/>
      <c r="H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 x14ac:dyDescent="0.35">
      <c r="A5" s="28">
        <v>45660</v>
      </c>
      <c r="B5" s="6" t="s">
        <v>32</v>
      </c>
      <c r="C5" s="30">
        <v>1540</v>
      </c>
      <c r="D5" s="6"/>
      <c r="E5" s="13" t="s">
        <v>35</v>
      </c>
      <c r="F5" s="31">
        <v>2690</v>
      </c>
      <c r="G5" s="6"/>
      <c r="H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 x14ac:dyDescent="0.35">
      <c r="A6" s="28">
        <v>45661</v>
      </c>
      <c r="B6" s="6" t="s">
        <v>35</v>
      </c>
      <c r="C6" s="30">
        <v>620</v>
      </c>
      <c r="D6" s="6"/>
      <c r="E6" s="21" t="s">
        <v>36</v>
      </c>
      <c r="F6" s="32">
        <v>8410</v>
      </c>
      <c r="G6" s="6"/>
      <c r="H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 x14ac:dyDescent="0.35">
      <c r="A7" s="28">
        <v>45662</v>
      </c>
      <c r="B7" s="6" t="s">
        <v>32</v>
      </c>
      <c r="C7" s="30">
        <v>1310</v>
      </c>
      <c r="D7" s="6"/>
      <c r="E7" s="6"/>
      <c r="F7" s="6"/>
      <c r="G7" s="6"/>
      <c r="H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 x14ac:dyDescent="0.35">
      <c r="A8" s="28">
        <v>45663</v>
      </c>
      <c r="B8" s="6" t="s">
        <v>36</v>
      </c>
      <c r="C8" s="30">
        <v>2200</v>
      </c>
      <c r="D8" s="6"/>
      <c r="E8" s="6"/>
      <c r="F8" s="6"/>
      <c r="G8" s="6"/>
      <c r="H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 x14ac:dyDescent="0.35">
      <c r="A9" s="28">
        <v>45664</v>
      </c>
      <c r="B9" s="6" t="s">
        <v>34</v>
      </c>
      <c r="C9" s="30">
        <v>1120</v>
      </c>
      <c r="D9" s="6"/>
      <c r="E9" s="6"/>
      <c r="F9" s="6"/>
      <c r="G9" s="6"/>
      <c r="H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 x14ac:dyDescent="0.35">
      <c r="A10" s="28">
        <v>45665</v>
      </c>
      <c r="B10" s="6" t="s">
        <v>35</v>
      </c>
      <c r="C10" s="30">
        <v>700</v>
      </c>
      <c r="D10" s="6"/>
      <c r="E10" s="6"/>
      <c r="F10" s="6"/>
      <c r="G10" s="6"/>
      <c r="H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 x14ac:dyDescent="0.35">
      <c r="A11" s="28">
        <v>45667</v>
      </c>
      <c r="B11" s="6" t="s">
        <v>32</v>
      </c>
      <c r="C11" s="30">
        <v>1890</v>
      </c>
      <c r="D11" s="6"/>
      <c r="E11" s="6"/>
      <c r="F11" s="6"/>
      <c r="G11" s="6"/>
      <c r="H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 x14ac:dyDescent="0.35">
      <c r="A12" s="28">
        <v>45667</v>
      </c>
      <c r="B12" s="6" t="s">
        <v>36</v>
      </c>
      <c r="C12" s="30">
        <v>1760</v>
      </c>
      <c r="D12" s="6"/>
      <c r="E12" s="6"/>
      <c r="F12" s="6"/>
      <c r="G12" s="6"/>
      <c r="H12" s="6"/>
      <c r="I12" s="33" t="s">
        <v>40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 x14ac:dyDescent="0.35">
      <c r="A13" s="28">
        <v>45669</v>
      </c>
      <c r="B13" s="6" t="s">
        <v>34</v>
      </c>
      <c r="C13" s="30">
        <v>1050</v>
      </c>
      <c r="D13" s="6"/>
      <c r="E13" s="6"/>
      <c r="F13" s="6"/>
      <c r="G13" s="6"/>
      <c r="H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 x14ac:dyDescent="0.35">
      <c r="A14" s="28">
        <v>45669</v>
      </c>
      <c r="B14" s="6" t="s">
        <v>32</v>
      </c>
      <c r="C14" s="30">
        <v>1420</v>
      </c>
      <c r="D14" s="6"/>
      <c r="E14" s="6"/>
      <c r="F14" s="6"/>
      <c r="G14" s="6"/>
      <c r="H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 x14ac:dyDescent="0.35">
      <c r="A15" s="28">
        <v>45670</v>
      </c>
      <c r="B15" s="6" t="s">
        <v>35</v>
      </c>
      <c r="C15" s="30">
        <v>660</v>
      </c>
      <c r="D15" s="6"/>
      <c r="E15" s="6"/>
      <c r="F15" s="6"/>
      <c r="G15" s="6"/>
      <c r="H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 x14ac:dyDescent="0.35">
      <c r="A16" s="28">
        <v>45671</v>
      </c>
      <c r="B16" s="6" t="s">
        <v>36</v>
      </c>
      <c r="C16" s="30">
        <v>2340</v>
      </c>
      <c r="D16" s="6"/>
      <c r="E16" s="6"/>
      <c r="F16" s="6"/>
      <c r="G16" s="27"/>
      <c r="H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 x14ac:dyDescent="0.35">
      <c r="A17" s="28">
        <v>45672</v>
      </c>
      <c r="B17" s="6" t="s">
        <v>32</v>
      </c>
      <c r="C17" s="30">
        <v>1670</v>
      </c>
      <c r="D17" s="6"/>
      <c r="E17" s="6"/>
      <c r="F17" s="6"/>
      <c r="G17" s="6"/>
      <c r="H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 x14ac:dyDescent="0.35">
      <c r="A18" s="28">
        <v>45673</v>
      </c>
      <c r="B18" s="6" t="s">
        <v>34</v>
      </c>
      <c r="C18" s="30">
        <v>930</v>
      </c>
      <c r="D18" s="6"/>
      <c r="E18" s="6"/>
      <c r="F18" s="6"/>
      <c r="G18" s="6"/>
      <c r="H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 x14ac:dyDescent="0.35">
      <c r="A19" s="28">
        <v>45673</v>
      </c>
      <c r="B19" s="6" t="s">
        <v>35</v>
      </c>
      <c r="C19" s="30">
        <v>710</v>
      </c>
      <c r="D19" s="6"/>
      <c r="E19" s="6"/>
      <c r="F19" s="6"/>
      <c r="G19" s="6"/>
      <c r="H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 x14ac:dyDescent="0.35">
      <c r="A20" s="28">
        <v>45673</v>
      </c>
      <c r="B20" s="6" t="s">
        <v>32</v>
      </c>
      <c r="C20" s="30">
        <v>1880</v>
      </c>
      <c r="D20" s="6"/>
      <c r="E20" s="6"/>
      <c r="F20" s="6"/>
      <c r="G20" s="6"/>
      <c r="H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 x14ac:dyDescent="0.35">
      <c r="A21" s="28">
        <v>45676</v>
      </c>
      <c r="B21" s="6" t="s">
        <v>36</v>
      </c>
      <c r="C21" s="30">
        <v>2110</v>
      </c>
      <c r="D21" s="6"/>
      <c r="E21" s="6"/>
      <c r="F21" s="6"/>
      <c r="G21" s="6"/>
      <c r="H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 x14ac:dyDescent="0.35">
      <c r="A22" s="34">
        <v>45677</v>
      </c>
      <c r="B22" s="35" t="s">
        <v>34</v>
      </c>
      <c r="C22" s="36">
        <v>1200</v>
      </c>
      <c r="D22" s="6"/>
      <c r="E22" s="6"/>
      <c r="F22" s="6"/>
      <c r="G22" s="6"/>
      <c r="H22" s="6"/>
      <c r="M22" s="6"/>
      <c r="N22" s="6"/>
      <c r="O22" s="6"/>
      <c r="P22" s="6"/>
      <c r="Q22" s="6"/>
      <c r="R22" s="6"/>
      <c r="S22" s="6" t="s">
        <v>40</v>
      </c>
      <c r="T22" s="6"/>
      <c r="U22" s="6"/>
      <c r="V22" s="6"/>
      <c r="W22" s="6"/>
      <c r="X22" s="6"/>
      <c r="Y22" s="6"/>
      <c r="Z22" s="6"/>
    </row>
    <row r="23" spans="1:26" ht="17.25" customHeight="1" x14ac:dyDescent="0.35">
      <c r="A23" s="6"/>
      <c r="B23" s="6"/>
      <c r="C23" s="6"/>
      <c r="D23" s="6"/>
      <c r="E23" s="6"/>
      <c r="F23" s="6"/>
      <c r="G23" s="6"/>
      <c r="H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 x14ac:dyDescent="0.35">
      <c r="A24" s="6"/>
      <c r="B24" s="6"/>
      <c r="C24" s="6"/>
      <c r="D24" s="6"/>
      <c r="E24" s="6"/>
      <c r="F24" s="6"/>
      <c r="G24" s="6"/>
      <c r="H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 x14ac:dyDescent="0.35">
      <c r="A25" s="6"/>
      <c r="B25" s="6"/>
      <c r="C25" s="6"/>
      <c r="D25" s="6"/>
      <c r="E25" s="6"/>
      <c r="F25" s="6"/>
      <c r="G25" s="6"/>
      <c r="H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5">
      <c r="A26" s="6"/>
      <c r="B26" s="6"/>
      <c r="C26" s="6"/>
      <c r="D26" s="6"/>
      <c r="E26" s="6"/>
      <c r="F26" s="6"/>
      <c r="G26" s="6"/>
      <c r="H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6"/>
      <c r="B27" s="6"/>
      <c r="C27" s="6"/>
      <c r="D27" s="6"/>
      <c r="E27" s="6"/>
      <c r="F27" s="6"/>
      <c r="G27" s="6"/>
      <c r="H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Consolidate leftLabels="1">
    <dataRefs count="1">
      <dataRef ref="B3:C22" sheet="Consolidate rows"/>
    </dataRefs>
  </dataConsolidate>
  <mergeCells count="1">
    <mergeCell ref="A1:F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" workbookViewId="0">
      <selection activeCell="F3" sqref="F3:F17"/>
    </sheetView>
  </sheetViews>
  <sheetFormatPr defaultColWidth="12.6328125" defaultRowHeight="15" customHeight="1" x14ac:dyDescent="0.35"/>
  <cols>
    <col min="1" max="1" width="25.26953125" customWidth="1"/>
    <col min="2" max="3" width="19" customWidth="1"/>
    <col min="4" max="5" width="19.08984375" customWidth="1"/>
    <col min="6" max="6" width="21.26953125" customWidth="1"/>
    <col min="7" max="7" width="20" customWidth="1"/>
    <col min="8" max="8" width="9.36328125" customWidth="1"/>
    <col min="9" max="26" width="9.08984375" customWidth="1"/>
  </cols>
  <sheetData>
    <row r="1" spans="1:26" ht="34.5" customHeight="1" x14ac:dyDescent="0.35">
      <c r="A1" s="48" t="s">
        <v>2</v>
      </c>
      <c r="B1" s="49"/>
      <c r="C1" s="49"/>
      <c r="D1" s="49"/>
      <c r="E1" s="49"/>
      <c r="F1" s="49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9" t="s">
        <v>7</v>
      </c>
      <c r="B2" s="10" t="s">
        <v>3</v>
      </c>
      <c r="C2" s="10" t="s">
        <v>4</v>
      </c>
      <c r="D2" s="10" t="s">
        <v>5</v>
      </c>
      <c r="E2" s="14" t="s">
        <v>10</v>
      </c>
      <c r="F2" s="18" t="s">
        <v>12</v>
      </c>
      <c r="G2" s="6"/>
      <c r="H2" s="6"/>
      <c r="I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.25" customHeight="1" x14ac:dyDescent="0.35">
      <c r="A3" s="22" t="s">
        <v>31</v>
      </c>
      <c r="B3" s="27">
        <v>1200</v>
      </c>
      <c r="C3" s="27">
        <v>1400</v>
      </c>
      <c r="D3" s="27">
        <v>1650</v>
      </c>
      <c r="E3" s="27">
        <f>SUM(B3:D3)</f>
        <v>4250</v>
      </c>
      <c r="F3" s="30">
        <f>AVERAGE(B3:D3)</f>
        <v>1416.6666666666667</v>
      </c>
      <c r="G3" s="27"/>
      <c r="H3" s="27"/>
      <c r="I3" s="2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7.25" customHeight="1" x14ac:dyDescent="0.35">
      <c r="A4" s="22" t="s">
        <v>33</v>
      </c>
      <c r="B4" s="27">
        <v>1450</v>
      </c>
      <c r="C4" s="27">
        <v>1320</v>
      </c>
      <c r="D4" s="27">
        <v>1750</v>
      </c>
      <c r="E4" s="27">
        <f t="shared" ref="E4:E17" si="0">SUM(B4:D4)</f>
        <v>4520</v>
      </c>
      <c r="F4" s="30">
        <f t="shared" ref="F4:F17" si="1">AVERAGE(B4:D4)</f>
        <v>1506.6666666666667</v>
      </c>
      <c r="G4" s="27"/>
      <c r="H4" s="27"/>
      <c r="I4" s="2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7.25" customHeight="1" x14ac:dyDescent="0.35">
      <c r="A5" s="22" t="s">
        <v>36</v>
      </c>
      <c r="B5" s="27">
        <v>1600</v>
      </c>
      <c r="C5" s="27">
        <v>1600</v>
      </c>
      <c r="D5" s="27">
        <v>1180</v>
      </c>
      <c r="E5" s="27">
        <f t="shared" si="0"/>
        <v>4380</v>
      </c>
      <c r="F5" s="30">
        <f t="shared" si="1"/>
        <v>1460</v>
      </c>
      <c r="G5" s="27"/>
      <c r="H5" s="27"/>
      <c r="I5" s="2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.25" customHeight="1" x14ac:dyDescent="0.35">
      <c r="A6" s="22" t="s">
        <v>37</v>
      </c>
      <c r="B6" s="27">
        <v>1150</v>
      </c>
      <c r="C6" s="27">
        <v>1750</v>
      </c>
      <c r="D6" s="27">
        <v>1450</v>
      </c>
      <c r="E6" s="27">
        <f t="shared" si="0"/>
        <v>4350</v>
      </c>
      <c r="F6" s="30">
        <f t="shared" si="1"/>
        <v>1450</v>
      </c>
      <c r="G6" s="27"/>
      <c r="H6" s="27"/>
      <c r="I6" s="2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7.25" customHeight="1" x14ac:dyDescent="0.35">
      <c r="A7" s="22" t="s">
        <v>38</v>
      </c>
      <c r="B7" s="27">
        <v>1250</v>
      </c>
      <c r="C7" s="27">
        <v>1800</v>
      </c>
      <c r="D7" s="27">
        <v>2000</v>
      </c>
      <c r="E7" s="27">
        <f t="shared" si="0"/>
        <v>5050</v>
      </c>
      <c r="F7" s="30">
        <f t="shared" si="1"/>
        <v>1683.3333333333333</v>
      </c>
      <c r="G7" s="27"/>
      <c r="H7" s="27"/>
      <c r="I7" s="2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.25" customHeight="1" x14ac:dyDescent="0.35">
      <c r="A8" s="22" t="s">
        <v>39</v>
      </c>
      <c r="B8" s="27">
        <v>1850</v>
      </c>
      <c r="C8" s="27">
        <v>1500</v>
      </c>
      <c r="D8" s="27">
        <v>1120</v>
      </c>
      <c r="E8" s="27">
        <f t="shared" si="0"/>
        <v>4470</v>
      </c>
      <c r="F8" s="30">
        <f t="shared" si="1"/>
        <v>1490</v>
      </c>
      <c r="G8" s="27"/>
      <c r="H8" s="27"/>
      <c r="I8" s="2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.25" customHeight="1" x14ac:dyDescent="0.35">
      <c r="A9" s="22" t="s">
        <v>41</v>
      </c>
      <c r="B9" s="27">
        <v>1350</v>
      </c>
      <c r="C9" s="27">
        <v>1010</v>
      </c>
      <c r="D9" s="27">
        <v>1250</v>
      </c>
      <c r="E9" s="27">
        <f t="shared" si="0"/>
        <v>3610</v>
      </c>
      <c r="F9" s="30">
        <f t="shared" si="1"/>
        <v>1203.3333333333333</v>
      </c>
      <c r="G9" s="27"/>
      <c r="H9" s="27"/>
      <c r="I9" s="2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7.25" customHeight="1" x14ac:dyDescent="0.35">
      <c r="A10" s="22" t="s">
        <v>34</v>
      </c>
      <c r="B10" s="27">
        <v>1200</v>
      </c>
      <c r="C10" s="27">
        <v>1550</v>
      </c>
      <c r="D10" s="27">
        <v>1550</v>
      </c>
      <c r="E10" s="27">
        <f t="shared" si="0"/>
        <v>4300</v>
      </c>
      <c r="F10" s="30">
        <f t="shared" si="1"/>
        <v>1433.3333333333333</v>
      </c>
      <c r="G10" s="27"/>
      <c r="H10" s="27"/>
      <c r="I10" s="2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7.25" customHeight="1" x14ac:dyDescent="0.35">
      <c r="A11" s="22" t="s">
        <v>42</v>
      </c>
      <c r="B11" s="27">
        <v>1950</v>
      </c>
      <c r="C11" s="27">
        <v>1700</v>
      </c>
      <c r="D11" s="27">
        <v>1900</v>
      </c>
      <c r="E11" s="27">
        <f t="shared" si="0"/>
        <v>5550</v>
      </c>
      <c r="F11" s="30">
        <f t="shared" si="1"/>
        <v>1850</v>
      </c>
      <c r="G11" s="27"/>
      <c r="H11" s="27"/>
      <c r="I11" s="2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7.25" customHeight="1" x14ac:dyDescent="0.35">
      <c r="A12" s="22" t="s">
        <v>43</v>
      </c>
      <c r="B12" s="27">
        <v>1350</v>
      </c>
      <c r="C12" s="27">
        <v>1080</v>
      </c>
      <c r="D12" s="27">
        <v>1500</v>
      </c>
      <c r="E12" s="27">
        <f t="shared" si="0"/>
        <v>3930</v>
      </c>
      <c r="F12" s="30">
        <f t="shared" si="1"/>
        <v>1310</v>
      </c>
      <c r="G12" s="27"/>
      <c r="H12" s="27"/>
      <c r="I12" s="2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7.25" customHeight="1" x14ac:dyDescent="0.35">
      <c r="A13" s="22" t="s">
        <v>44</v>
      </c>
      <c r="B13" s="27">
        <v>1400</v>
      </c>
      <c r="C13" s="27">
        <v>1000</v>
      </c>
      <c r="D13" s="27">
        <v>1650</v>
      </c>
      <c r="E13" s="27">
        <f t="shared" si="0"/>
        <v>4050</v>
      </c>
      <c r="F13" s="30">
        <f t="shared" si="1"/>
        <v>1350</v>
      </c>
      <c r="G13" s="27"/>
      <c r="H13" s="27"/>
      <c r="I13" s="2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7.25" customHeight="1" x14ac:dyDescent="0.35">
      <c r="A14" s="22" t="s">
        <v>45</v>
      </c>
      <c r="B14" s="27">
        <v>1100</v>
      </c>
      <c r="C14" s="27">
        <v>1450</v>
      </c>
      <c r="D14" s="27">
        <v>1600</v>
      </c>
      <c r="E14" s="27">
        <f t="shared" si="0"/>
        <v>4150</v>
      </c>
      <c r="F14" s="30">
        <f t="shared" si="1"/>
        <v>1383.3333333333333</v>
      </c>
      <c r="G14" s="27"/>
      <c r="H14" s="27"/>
      <c r="I14" s="2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7.25" customHeight="1" x14ac:dyDescent="0.35">
      <c r="A15" s="22" t="s">
        <v>46</v>
      </c>
      <c r="B15" s="27">
        <v>1300</v>
      </c>
      <c r="C15" s="27">
        <v>1700</v>
      </c>
      <c r="D15" s="27">
        <v>1550</v>
      </c>
      <c r="E15" s="27">
        <f t="shared" si="0"/>
        <v>4550</v>
      </c>
      <c r="F15" s="30">
        <f t="shared" si="1"/>
        <v>1516.6666666666667</v>
      </c>
      <c r="G15" s="27"/>
      <c r="H15" s="27"/>
      <c r="I15" s="2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7.25" customHeight="1" x14ac:dyDescent="0.35">
      <c r="A16" s="22" t="s">
        <v>32</v>
      </c>
      <c r="B16" s="27">
        <v>1250</v>
      </c>
      <c r="C16" s="27">
        <v>1300</v>
      </c>
      <c r="D16" s="27">
        <v>1800</v>
      </c>
      <c r="E16" s="27">
        <f t="shared" si="0"/>
        <v>4350</v>
      </c>
      <c r="F16" s="30">
        <f t="shared" si="1"/>
        <v>1450</v>
      </c>
      <c r="G16" s="27"/>
      <c r="H16" s="27"/>
      <c r="I16" s="2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7.25" customHeight="1" x14ac:dyDescent="0.35">
      <c r="A17" s="37" t="s">
        <v>47</v>
      </c>
      <c r="B17" s="38">
        <v>1500</v>
      </c>
      <c r="C17" s="38">
        <v>1050</v>
      </c>
      <c r="D17" s="38">
        <v>1400</v>
      </c>
      <c r="E17" s="27">
        <f t="shared" si="0"/>
        <v>3950</v>
      </c>
      <c r="F17" s="30">
        <f t="shared" si="1"/>
        <v>1316.6666666666667</v>
      </c>
      <c r="G17" s="27"/>
      <c r="H17" s="27"/>
      <c r="I17" s="2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.2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7.2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7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7.25" customHeight="1" x14ac:dyDescent="0.35">
      <c r="A21" s="6"/>
      <c r="B21" s="6"/>
      <c r="C21" s="6"/>
      <c r="D21" s="6"/>
      <c r="E21" s="6"/>
      <c r="F21" s="6"/>
      <c r="G21" s="6"/>
      <c r="H21" s="6"/>
      <c r="I21" s="42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.2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N22" s="6"/>
      <c r="O22" s="6"/>
      <c r="P22" s="6"/>
      <c r="Q22" s="6"/>
      <c r="R22" s="6"/>
      <c r="S22" s="6"/>
      <c r="T22" s="6" t="s">
        <v>40</v>
      </c>
      <c r="U22" s="6"/>
      <c r="V22" s="6"/>
      <c r="W22" s="6"/>
      <c r="X22" s="6"/>
      <c r="Y22" s="6"/>
      <c r="Z22" s="6"/>
    </row>
    <row r="23" spans="1:26" ht="17.2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7.2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7.25" customHeight="1" x14ac:dyDescent="0.35">
      <c r="F25" s="6"/>
      <c r="G25" s="6"/>
      <c r="H25" s="6"/>
      <c r="I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3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3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1000"/>
  <sheetViews>
    <sheetView workbookViewId="0">
      <selection activeCell="L5" sqref="L5"/>
    </sheetView>
  </sheetViews>
  <sheetFormatPr defaultColWidth="12.6328125" defaultRowHeight="15" customHeight="1" x14ac:dyDescent="0.35"/>
  <cols>
    <col min="1" max="1" width="13.08984375" customWidth="1"/>
    <col min="2" max="4" width="8.36328125" customWidth="1"/>
    <col min="5" max="26" width="8.6328125" customWidth="1"/>
  </cols>
  <sheetData>
    <row r="1" spans="7:10" ht="17.25" customHeight="1" x14ac:dyDescent="0.35">
      <c r="G1" s="1" t="s">
        <v>1</v>
      </c>
      <c r="H1" s="3" t="s">
        <v>3</v>
      </c>
      <c r="I1" s="3" t="s">
        <v>4</v>
      </c>
      <c r="J1" s="7" t="s">
        <v>5</v>
      </c>
    </row>
    <row r="2" spans="7:10" ht="17.25" customHeight="1" x14ac:dyDescent="0.35">
      <c r="G2" s="11" t="s">
        <v>8</v>
      </c>
      <c r="H2" s="12">
        <v>600</v>
      </c>
      <c r="I2" s="12">
        <v>310</v>
      </c>
      <c r="J2" s="15">
        <v>170</v>
      </c>
    </row>
    <row r="3" spans="7:10" ht="17.25" customHeight="1" x14ac:dyDescent="0.35">
      <c r="G3" s="11" t="s">
        <v>13</v>
      </c>
      <c r="H3" s="12">
        <v>170</v>
      </c>
      <c r="I3" s="12">
        <v>250</v>
      </c>
      <c r="J3" s="15">
        <v>220</v>
      </c>
    </row>
    <row r="4" spans="7:10" ht="17.25" customHeight="1" x14ac:dyDescent="0.35">
      <c r="G4" s="11" t="s">
        <v>14</v>
      </c>
      <c r="H4" s="12">
        <v>110</v>
      </c>
      <c r="I4" s="12"/>
      <c r="J4" s="15">
        <v>340</v>
      </c>
    </row>
    <row r="5" spans="7:10" ht="17.25" customHeight="1" x14ac:dyDescent="0.35">
      <c r="G5" s="11" t="s">
        <v>15</v>
      </c>
      <c r="H5" s="12">
        <v>120</v>
      </c>
      <c r="I5" s="12">
        <v>180</v>
      </c>
      <c r="J5" s="15">
        <v>160</v>
      </c>
    </row>
    <row r="6" spans="7:10" ht="17.25" customHeight="1" x14ac:dyDescent="0.35">
      <c r="G6" s="11" t="s">
        <v>16</v>
      </c>
      <c r="H6" s="12">
        <v>210</v>
      </c>
      <c r="I6" s="12">
        <v>300</v>
      </c>
      <c r="J6" s="15">
        <v>270</v>
      </c>
    </row>
    <row r="7" spans="7:10" ht="17.25" customHeight="1" x14ac:dyDescent="0.35">
      <c r="G7" s="11" t="s">
        <v>17</v>
      </c>
      <c r="H7" s="12">
        <v>180</v>
      </c>
      <c r="I7" s="12">
        <v>260</v>
      </c>
      <c r="J7" s="15">
        <v>210</v>
      </c>
    </row>
    <row r="8" spans="7:10" ht="17.25" customHeight="1" x14ac:dyDescent="0.35">
      <c r="G8" s="11" t="s">
        <v>18</v>
      </c>
      <c r="H8" s="12">
        <v>130</v>
      </c>
      <c r="I8" s="12">
        <v>190</v>
      </c>
      <c r="J8" s="15">
        <v>150</v>
      </c>
    </row>
    <row r="9" spans="7:10" ht="17.25" customHeight="1" x14ac:dyDescent="0.35">
      <c r="G9" s="11" t="s">
        <v>19</v>
      </c>
      <c r="H9" s="12">
        <v>175</v>
      </c>
      <c r="I9" s="12">
        <v>245</v>
      </c>
      <c r="J9" s="15">
        <v>215</v>
      </c>
    </row>
    <row r="10" spans="7:10" ht="17.25" customHeight="1" x14ac:dyDescent="0.35">
      <c r="G10" s="11" t="s">
        <v>21</v>
      </c>
      <c r="H10" s="12">
        <v>150</v>
      </c>
      <c r="I10" s="12">
        <v>210</v>
      </c>
      <c r="J10" s="15">
        <v>190</v>
      </c>
    </row>
    <row r="11" spans="7:10" ht="17.25" customHeight="1" x14ac:dyDescent="0.35">
      <c r="G11" s="11" t="s">
        <v>22</v>
      </c>
      <c r="H11" s="12">
        <v>160</v>
      </c>
      <c r="I11" s="12"/>
      <c r="J11" s="15">
        <v>180</v>
      </c>
    </row>
    <row r="12" spans="7:10" ht="17.25" customHeight="1" x14ac:dyDescent="0.35">
      <c r="G12" s="11" t="s">
        <v>24</v>
      </c>
      <c r="H12" s="12">
        <v>165</v>
      </c>
      <c r="I12" s="12">
        <v>235</v>
      </c>
      <c r="J12" s="15">
        <v>205</v>
      </c>
    </row>
    <row r="13" spans="7:10" ht="17.25" customHeight="1" x14ac:dyDescent="0.35">
      <c r="G13" s="11" t="s">
        <v>26</v>
      </c>
      <c r="H13" s="12">
        <v>110</v>
      </c>
      <c r="I13" s="12">
        <v>220</v>
      </c>
      <c r="J13" s="15">
        <v>160</v>
      </c>
    </row>
    <row r="14" spans="7:10" ht="17.25" customHeight="1" x14ac:dyDescent="0.35">
      <c r="G14" s="11" t="s">
        <v>28</v>
      </c>
      <c r="H14" s="12">
        <v>220</v>
      </c>
      <c r="I14" s="12">
        <v>310</v>
      </c>
      <c r="J14" s="15">
        <v>280</v>
      </c>
    </row>
    <row r="15" spans="7:10" ht="17.25" customHeight="1" x14ac:dyDescent="0.35">
      <c r="G15" s="11" t="s">
        <v>30</v>
      </c>
      <c r="H15" s="12">
        <v>140</v>
      </c>
      <c r="I15" s="12">
        <v>200</v>
      </c>
      <c r="J15" s="15">
        <v>170</v>
      </c>
    </row>
    <row r="16" spans="7:10" ht="17.25" customHeight="1" x14ac:dyDescent="0.35">
      <c r="G16" s="11" t="s">
        <v>29</v>
      </c>
      <c r="H16" s="12">
        <v>155</v>
      </c>
      <c r="I16" s="12">
        <v>215</v>
      </c>
      <c r="J16" s="15">
        <v>185</v>
      </c>
    </row>
    <row r="17" spans="7:10" ht="17.25" customHeight="1" x14ac:dyDescent="0.35">
      <c r="G17" s="11" t="s">
        <v>27</v>
      </c>
      <c r="H17" s="12">
        <v>190</v>
      </c>
      <c r="I17" s="12">
        <v>270</v>
      </c>
      <c r="J17" s="15">
        <v>240</v>
      </c>
    </row>
    <row r="18" spans="7:10" ht="17.25" customHeight="1" x14ac:dyDescent="0.35">
      <c r="G18" s="11" t="s">
        <v>25</v>
      </c>
      <c r="H18" s="12">
        <v>200</v>
      </c>
      <c r="I18" s="12">
        <v>290</v>
      </c>
      <c r="J18" s="15"/>
    </row>
    <row r="19" spans="7:10" ht="17.25" customHeight="1" x14ac:dyDescent="0.35">
      <c r="G19" s="11" t="s">
        <v>23</v>
      </c>
      <c r="H19" s="12">
        <v>250</v>
      </c>
      <c r="I19" s="12">
        <v>140</v>
      </c>
      <c r="J19" s="15">
        <v>200</v>
      </c>
    </row>
    <row r="20" spans="7:10" ht="17.25" customHeight="1" x14ac:dyDescent="0.35">
      <c r="G20" s="11" t="s">
        <v>20</v>
      </c>
      <c r="H20" s="12">
        <v>185</v>
      </c>
      <c r="I20" s="12">
        <v>265</v>
      </c>
      <c r="J20" s="15">
        <v>235</v>
      </c>
    </row>
    <row r="21" spans="7:10" ht="17.25" customHeight="1" x14ac:dyDescent="0.35">
      <c r="G21" s="20" t="s">
        <v>9</v>
      </c>
      <c r="H21" s="24">
        <v>145</v>
      </c>
      <c r="I21" s="24">
        <v>205</v>
      </c>
      <c r="J21" s="25">
        <v>175</v>
      </c>
    </row>
    <row r="22" spans="7:10" ht="14.25" customHeight="1" x14ac:dyDescent="0.35"/>
    <row r="23" spans="7:10" ht="14.25" customHeight="1" x14ac:dyDescent="0.35"/>
    <row r="24" spans="7:10" ht="14.25" customHeight="1" x14ac:dyDescent="0.35"/>
    <row r="25" spans="7:10" ht="14.25" customHeight="1" x14ac:dyDescent="0.35"/>
    <row r="26" spans="7:10" ht="14.25" customHeight="1" x14ac:dyDescent="0.35"/>
    <row r="27" spans="7:10" ht="14.25" customHeight="1" x14ac:dyDescent="0.35"/>
    <row r="28" spans="7:10" ht="14.25" customHeight="1" x14ac:dyDescent="0.35"/>
    <row r="29" spans="7:10" ht="14.25" customHeight="1" x14ac:dyDescent="0.35"/>
    <row r="30" spans="7:10" ht="14.25" customHeight="1" x14ac:dyDescent="0.35"/>
    <row r="31" spans="7:10" ht="14.25" customHeight="1" x14ac:dyDescent="0.35"/>
    <row r="32" spans="7:10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I1000"/>
  <sheetViews>
    <sheetView topLeftCell="A3" workbookViewId="0">
      <selection activeCell="L6" sqref="L6"/>
    </sheetView>
  </sheetViews>
  <sheetFormatPr defaultColWidth="12.6328125" defaultRowHeight="15" customHeight="1" x14ac:dyDescent="0.35"/>
  <cols>
    <col min="1" max="1" width="13.08984375" customWidth="1"/>
    <col min="2" max="4" width="8.36328125" customWidth="1"/>
    <col min="5" max="26" width="8.6328125" customWidth="1"/>
  </cols>
  <sheetData>
    <row r="1" spans="6:9" ht="17.25" customHeight="1" x14ac:dyDescent="0.35"/>
    <row r="2" spans="6:9" ht="17.25" customHeight="1" x14ac:dyDescent="0.35"/>
    <row r="3" spans="6:9" ht="17.25" customHeight="1" x14ac:dyDescent="0.35">
      <c r="F3" s="2" t="s">
        <v>1</v>
      </c>
      <c r="G3" s="4" t="s">
        <v>3</v>
      </c>
      <c r="H3" s="4" t="s">
        <v>4</v>
      </c>
      <c r="I3" s="8" t="s">
        <v>5</v>
      </c>
    </row>
    <row r="4" spans="6:9" ht="17.25" customHeight="1" x14ac:dyDescent="0.35">
      <c r="F4" s="13" t="s">
        <v>9</v>
      </c>
      <c r="G4" s="12">
        <v>160</v>
      </c>
      <c r="H4" s="12">
        <v>170</v>
      </c>
      <c r="I4" s="16">
        <v>200</v>
      </c>
    </row>
    <row r="5" spans="6:9" ht="17.25" customHeight="1" x14ac:dyDescent="0.35">
      <c r="F5" s="13" t="s">
        <v>20</v>
      </c>
      <c r="G5" s="12">
        <v>220</v>
      </c>
      <c r="H5" s="12">
        <v>270</v>
      </c>
      <c r="I5" s="16">
        <v>190</v>
      </c>
    </row>
    <row r="6" spans="6:9" ht="17.25" customHeight="1" x14ac:dyDescent="0.35">
      <c r="F6" s="13" t="s">
        <v>23</v>
      </c>
      <c r="G6" s="12">
        <v>245</v>
      </c>
      <c r="H6" s="12">
        <v>240</v>
      </c>
      <c r="I6" s="16">
        <v>235</v>
      </c>
    </row>
    <row r="7" spans="6:9" ht="17.25" customHeight="1" x14ac:dyDescent="0.35">
      <c r="F7" s="13" t="s">
        <v>25</v>
      </c>
      <c r="G7" s="12">
        <v>140</v>
      </c>
      <c r="H7" s="12">
        <v>145</v>
      </c>
      <c r="I7" s="16">
        <v>140</v>
      </c>
    </row>
    <row r="8" spans="6:9" ht="17.25" customHeight="1" x14ac:dyDescent="0.35">
      <c r="F8" s="13" t="s">
        <v>27</v>
      </c>
      <c r="G8" s="12">
        <v>130</v>
      </c>
      <c r="H8" s="12">
        <v>250</v>
      </c>
      <c r="I8" s="16">
        <v>190</v>
      </c>
    </row>
    <row r="9" spans="6:9" ht="17.25" customHeight="1" x14ac:dyDescent="0.35">
      <c r="F9" s="13" t="s">
        <v>29</v>
      </c>
      <c r="G9" s="12">
        <v>210</v>
      </c>
      <c r="H9" s="12">
        <v>110</v>
      </c>
      <c r="I9" s="16">
        <v>150</v>
      </c>
    </row>
    <row r="10" spans="6:9" ht="17.25" customHeight="1" x14ac:dyDescent="0.35">
      <c r="F10" s="13" t="s">
        <v>30</v>
      </c>
      <c r="G10" s="12">
        <v>310</v>
      </c>
      <c r="H10" s="12">
        <v>150</v>
      </c>
      <c r="I10" s="16">
        <v>190</v>
      </c>
    </row>
    <row r="11" spans="6:9" ht="17.25" customHeight="1" x14ac:dyDescent="0.35">
      <c r="F11" s="13" t="s">
        <v>28</v>
      </c>
      <c r="G11" s="12">
        <v>180</v>
      </c>
      <c r="H11" s="12">
        <v>290</v>
      </c>
      <c r="I11" s="16">
        <v>205</v>
      </c>
    </row>
    <row r="12" spans="6:9" ht="17.25" customHeight="1" x14ac:dyDescent="0.35">
      <c r="F12" s="13" t="s">
        <v>26</v>
      </c>
      <c r="G12" s="12">
        <v>100</v>
      </c>
      <c r="H12" s="12">
        <v>210</v>
      </c>
      <c r="I12" s="16">
        <v>220</v>
      </c>
    </row>
    <row r="13" spans="6:9" ht="17.25" customHeight="1" x14ac:dyDescent="0.35">
      <c r="F13" s="13" t="s">
        <v>24</v>
      </c>
      <c r="G13" s="12">
        <v>215</v>
      </c>
      <c r="H13" s="12">
        <v>200</v>
      </c>
      <c r="I13" s="16">
        <v>185</v>
      </c>
    </row>
    <row r="14" spans="6:9" ht="17.25" customHeight="1" x14ac:dyDescent="0.35">
      <c r="F14" s="13" t="s">
        <v>22</v>
      </c>
      <c r="G14" s="12">
        <v>140</v>
      </c>
      <c r="H14" s="12">
        <v>215</v>
      </c>
      <c r="I14" s="16">
        <v>200</v>
      </c>
    </row>
    <row r="15" spans="6:9" ht="17.25" customHeight="1" x14ac:dyDescent="0.35">
      <c r="F15" s="13" t="s">
        <v>21</v>
      </c>
      <c r="G15" s="12">
        <v>180</v>
      </c>
      <c r="H15" s="12">
        <v>210</v>
      </c>
      <c r="I15" s="16">
        <v>120</v>
      </c>
    </row>
    <row r="16" spans="6:9" ht="17.25" customHeight="1" x14ac:dyDescent="0.35">
      <c r="F16" s="13" t="s">
        <v>19</v>
      </c>
      <c r="G16" s="12">
        <v>160</v>
      </c>
      <c r="H16" s="12">
        <v>110</v>
      </c>
      <c r="I16" s="16">
        <v>160</v>
      </c>
    </row>
    <row r="17" spans="6:9" ht="17.25" customHeight="1" x14ac:dyDescent="0.35">
      <c r="F17" s="13" t="s">
        <v>18</v>
      </c>
      <c r="G17" s="12">
        <v>265</v>
      </c>
      <c r="H17" s="12">
        <v>270</v>
      </c>
      <c r="I17" s="16">
        <v>260</v>
      </c>
    </row>
    <row r="18" spans="6:9" ht="17.25" customHeight="1" x14ac:dyDescent="0.35">
      <c r="F18" s="13" t="s">
        <v>17</v>
      </c>
      <c r="G18" s="12">
        <v>340</v>
      </c>
      <c r="H18" s="12">
        <v>155</v>
      </c>
      <c r="I18" s="16">
        <v>170</v>
      </c>
    </row>
    <row r="19" spans="6:9" ht="17.25" customHeight="1" x14ac:dyDescent="0.35">
      <c r="F19" s="13" t="s">
        <v>16</v>
      </c>
      <c r="G19" s="12">
        <v>180</v>
      </c>
      <c r="H19" s="12">
        <v>250</v>
      </c>
      <c r="I19" s="16">
        <v>165</v>
      </c>
    </row>
    <row r="20" spans="6:9" ht="17.25" customHeight="1" x14ac:dyDescent="0.35">
      <c r="F20" s="13" t="s">
        <v>15</v>
      </c>
      <c r="G20" s="12">
        <v>280</v>
      </c>
      <c r="H20" s="12">
        <v>175</v>
      </c>
      <c r="I20" s="16"/>
    </row>
    <row r="21" spans="6:9" ht="17.25" customHeight="1" x14ac:dyDescent="0.35">
      <c r="F21" s="13" t="s">
        <v>14</v>
      </c>
      <c r="G21" s="12">
        <v>310</v>
      </c>
      <c r="H21" s="12"/>
      <c r="I21" s="16">
        <v>220</v>
      </c>
    </row>
    <row r="22" spans="6:9" ht="14.25" customHeight="1" x14ac:dyDescent="0.35">
      <c r="F22" s="13" t="s">
        <v>13</v>
      </c>
      <c r="G22" s="12">
        <v>235</v>
      </c>
      <c r="H22" s="12">
        <v>205</v>
      </c>
      <c r="I22" s="16">
        <v>175</v>
      </c>
    </row>
    <row r="23" spans="6:9" ht="14.25" customHeight="1" x14ac:dyDescent="0.35">
      <c r="F23" s="21" t="s">
        <v>8</v>
      </c>
      <c r="G23" s="26">
        <v>170</v>
      </c>
      <c r="H23" s="26">
        <v>185</v>
      </c>
      <c r="I23" s="29">
        <v>300</v>
      </c>
    </row>
    <row r="24" spans="6:9" ht="14.25" customHeight="1" x14ac:dyDescent="0.35"/>
    <row r="25" spans="6:9" ht="14.25" customHeight="1" x14ac:dyDescent="0.35"/>
    <row r="26" spans="6:9" ht="14.25" customHeight="1" x14ac:dyDescent="0.35"/>
    <row r="27" spans="6:9" ht="14.25" customHeight="1" x14ac:dyDescent="0.35"/>
    <row r="28" spans="6:9" ht="14.25" customHeight="1" x14ac:dyDescent="0.35"/>
    <row r="29" spans="6:9" ht="14.25" customHeight="1" x14ac:dyDescent="0.35"/>
    <row r="30" spans="6:9" ht="14.25" customHeight="1" x14ac:dyDescent="0.35"/>
    <row r="31" spans="6:9" ht="14.25" customHeight="1" x14ac:dyDescent="0.35"/>
    <row r="32" spans="6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J12" sqref="J12"/>
    </sheetView>
  </sheetViews>
  <sheetFormatPr defaultColWidth="12.6328125" defaultRowHeight="15" customHeight="1" x14ac:dyDescent="0.35"/>
  <cols>
    <col min="1" max="1" width="13.08984375" customWidth="1"/>
    <col min="2" max="4" width="8.36328125" customWidth="1"/>
    <col min="5" max="26" width="8.6328125" customWidth="1"/>
  </cols>
  <sheetData>
    <row r="1" spans="1:4" ht="17.25" customHeight="1" x14ac:dyDescent="0.35">
      <c r="A1" s="39" t="s">
        <v>1</v>
      </c>
      <c r="B1" s="40" t="s">
        <v>3</v>
      </c>
      <c r="C1" s="40" t="s">
        <v>4</v>
      </c>
      <c r="D1" s="41" t="s">
        <v>5</v>
      </c>
    </row>
    <row r="2" spans="1:4" ht="17.25" customHeight="1" x14ac:dyDescent="0.35">
      <c r="A2" s="43" t="s">
        <v>23</v>
      </c>
      <c r="B2" s="12">
        <v>170</v>
      </c>
      <c r="C2" s="12">
        <v>400</v>
      </c>
      <c r="D2" s="44">
        <v>235</v>
      </c>
    </row>
    <row r="3" spans="1:4" ht="17.25" customHeight="1" x14ac:dyDescent="0.35">
      <c r="A3" s="43" t="s">
        <v>8</v>
      </c>
      <c r="B3" s="12">
        <v>155</v>
      </c>
      <c r="C3" s="12">
        <v>160</v>
      </c>
      <c r="D3" s="44">
        <v>260</v>
      </c>
    </row>
    <row r="4" spans="1:4" ht="17.25" customHeight="1" x14ac:dyDescent="0.35">
      <c r="A4" s="43" t="s">
        <v>26</v>
      </c>
      <c r="B4" s="12">
        <v>320</v>
      </c>
      <c r="C4" s="12">
        <v>175</v>
      </c>
      <c r="D4" s="44">
        <v>235</v>
      </c>
    </row>
    <row r="5" spans="1:4" ht="17.25" customHeight="1" x14ac:dyDescent="0.35">
      <c r="A5" s="43" t="s">
        <v>14</v>
      </c>
      <c r="B5" s="12">
        <v>270</v>
      </c>
      <c r="C5" s="12">
        <v>460</v>
      </c>
      <c r="D5" s="44">
        <v>190</v>
      </c>
    </row>
    <row r="6" spans="1:4" ht="17.25" customHeight="1" x14ac:dyDescent="0.35">
      <c r="A6" s="43" t="s">
        <v>17</v>
      </c>
      <c r="B6" s="12">
        <v>190</v>
      </c>
      <c r="C6" s="12">
        <v>160</v>
      </c>
      <c r="D6" s="44">
        <v>250</v>
      </c>
    </row>
    <row r="7" spans="1:4" ht="17.25" customHeight="1" x14ac:dyDescent="0.35">
      <c r="A7" s="43" t="s">
        <v>18</v>
      </c>
      <c r="B7" s="12">
        <v>145</v>
      </c>
      <c r="C7" s="12">
        <v>220</v>
      </c>
      <c r="D7" s="44">
        <v>300</v>
      </c>
    </row>
    <row r="8" spans="1:4" ht="17.25" customHeight="1" x14ac:dyDescent="0.35">
      <c r="A8" s="43" t="s">
        <v>22</v>
      </c>
      <c r="B8" s="12">
        <v>310</v>
      </c>
      <c r="C8" s="12">
        <v>140</v>
      </c>
      <c r="D8" s="44">
        <v>160</v>
      </c>
    </row>
    <row r="9" spans="1:4" ht="17.25" customHeight="1" x14ac:dyDescent="0.35">
      <c r="A9" s="43" t="s">
        <v>30</v>
      </c>
      <c r="B9" s="12">
        <v>150</v>
      </c>
      <c r="C9" s="12">
        <v>250</v>
      </c>
      <c r="D9" s="44">
        <v>210</v>
      </c>
    </row>
    <row r="10" spans="1:4" ht="17.25" customHeight="1" x14ac:dyDescent="0.35">
      <c r="A10" s="43" t="s">
        <v>13</v>
      </c>
      <c r="B10" s="12">
        <v>140</v>
      </c>
      <c r="C10" s="12">
        <v>270</v>
      </c>
      <c r="D10" s="44">
        <v>205</v>
      </c>
    </row>
    <row r="11" spans="1:4" ht="17.25" customHeight="1" x14ac:dyDescent="0.35">
      <c r="A11" s="43" t="s">
        <v>21</v>
      </c>
      <c r="B11" s="12">
        <v>290</v>
      </c>
      <c r="C11" s="12">
        <v>245</v>
      </c>
      <c r="D11" s="44">
        <v>180</v>
      </c>
    </row>
    <row r="12" spans="1:4" ht="17.25" customHeight="1" x14ac:dyDescent="0.35">
      <c r="A12" s="43" t="s">
        <v>27</v>
      </c>
      <c r="B12" s="12"/>
      <c r="C12" s="12">
        <v>100</v>
      </c>
      <c r="D12" s="44">
        <v>220</v>
      </c>
    </row>
    <row r="13" spans="1:4" ht="17.25" customHeight="1" x14ac:dyDescent="0.35">
      <c r="A13" s="43" t="s">
        <v>15</v>
      </c>
      <c r="B13" s="12">
        <v>190</v>
      </c>
      <c r="C13" s="12">
        <v>200</v>
      </c>
      <c r="D13" s="44">
        <v>120</v>
      </c>
    </row>
    <row r="14" spans="1:4" ht="17.25" customHeight="1" x14ac:dyDescent="0.35">
      <c r="A14" s="43" t="s">
        <v>25</v>
      </c>
      <c r="B14" s="12">
        <v>165</v>
      </c>
      <c r="C14" s="12"/>
      <c r="D14" s="44">
        <v>130</v>
      </c>
    </row>
    <row r="15" spans="1:4" ht="17.25" customHeight="1" x14ac:dyDescent="0.35">
      <c r="A15" s="43" t="s">
        <v>9</v>
      </c>
      <c r="B15" s="12">
        <v>200</v>
      </c>
      <c r="C15" s="12">
        <v>210</v>
      </c>
      <c r="D15" s="44">
        <v>175</v>
      </c>
    </row>
    <row r="16" spans="1:4" ht="17.25" customHeight="1" x14ac:dyDescent="0.35">
      <c r="A16" s="43" t="s">
        <v>29</v>
      </c>
      <c r="B16" s="12">
        <v>180</v>
      </c>
      <c r="C16" s="12">
        <v>280</v>
      </c>
      <c r="D16" s="44">
        <v>265</v>
      </c>
    </row>
    <row r="17" spans="1:4" ht="17.25" customHeight="1" x14ac:dyDescent="0.35">
      <c r="A17" s="43" t="s">
        <v>19</v>
      </c>
      <c r="B17" s="12">
        <v>210</v>
      </c>
      <c r="C17" s="12">
        <v>310</v>
      </c>
      <c r="D17" s="44">
        <v>215</v>
      </c>
    </row>
    <row r="18" spans="1:4" ht="17.25" customHeight="1" x14ac:dyDescent="0.35">
      <c r="A18" s="43" t="s">
        <v>28</v>
      </c>
      <c r="B18" s="12">
        <v>215</v>
      </c>
      <c r="C18" s="12">
        <v>185</v>
      </c>
      <c r="D18" s="44">
        <v>140</v>
      </c>
    </row>
    <row r="19" spans="1:4" ht="17.25" customHeight="1" x14ac:dyDescent="0.35">
      <c r="A19" s="43" t="s">
        <v>24</v>
      </c>
      <c r="B19" s="12">
        <v>200</v>
      </c>
      <c r="C19" s="12">
        <v>240</v>
      </c>
      <c r="D19" s="44">
        <v>170</v>
      </c>
    </row>
    <row r="20" spans="1:4" ht="17.25" customHeight="1" x14ac:dyDescent="0.35">
      <c r="A20" s="43" t="s">
        <v>16</v>
      </c>
      <c r="B20" s="12">
        <v>340</v>
      </c>
      <c r="C20" s="12">
        <v>170</v>
      </c>
      <c r="D20" s="44">
        <v>150</v>
      </c>
    </row>
    <row r="21" spans="1:4" ht="17.25" customHeight="1" x14ac:dyDescent="0.35">
      <c r="A21" s="45" t="s">
        <v>20</v>
      </c>
      <c r="B21" s="46">
        <v>110</v>
      </c>
      <c r="C21" s="46">
        <v>220</v>
      </c>
      <c r="D21" s="47">
        <v>180</v>
      </c>
    </row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370B-ABAB-4F79-AA4E-07024E98F8CB}">
  <dimension ref="C5:F25"/>
  <sheetViews>
    <sheetView workbookViewId="0">
      <selection activeCell="I17" sqref="I17"/>
    </sheetView>
  </sheetViews>
  <sheetFormatPr defaultRowHeight="14.5" x14ac:dyDescent="0.35"/>
  <sheetData>
    <row r="5" spans="3:6" x14ac:dyDescent="0.35">
      <c r="D5" t="s">
        <v>3</v>
      </c>
      <c r="E5" t="s">
        <v>4</v>
      </c>
      <c r="F5" t="s">
        <v>5</v>
      </c>
    </row>
    <row r="6" spans="3:6" x14ac:dyDescent="0.35">
      <c r="C6" t="s">
        <v>8</v>
      </c>
      <c r="D6" s="52">
        <v>725</v>
      </c>
      <c r="E6" s="52">
        <v>655</v>
      </c>
      <c r="F6" s="52">
        <v>730</v>
      </c>
    </row>
    <row r="7" spans="3:6" x14ac:dyDescent="0.35">
      <c r="C7" t="s">
        <v>13</v>
      </c>
      <c r="D7" s="52">
        <v>545</v>
      </c>
      <c r="E7" s="52">
        <v>725</v>
      </c>
      <c r="F7" s="52">
        <v>600</v>
      </c>
    </row>
    <row r="8" spans="3:6" x14ac:dyDescent="0.35">
      <c r="C8" t="s">
        <v>14</v>
      </c>
      <c r="D8" s="52">
        <v>690</v>
      </c>
      <c r="E8" s="52">
        <v>460</v>
      </c>
      <c r="F8" s="52">
        <v>750</v>
      </c>
    </row>
    <row r="9" spans="3:6" x14ac:dyDescent="0.35">
      <c r="C9" t="s">
        <v>15</v>
      </c>
      <c r="D9" s="52">
        <v>590</v>
      </c>
      <c r="E9" s="52">
        <v>555</v>
      </c>
      <c r="F9" s="52">
        <v>280</v>
      </c>
    </row>
    <row r="10" spans="3:6" x14ac:dyDescent="0.35">
      <c r="C10" t="s">
        <v>16</v>
      </c>
      <c r="D10" s="52">
        <v>730</v>
      </c>
      <c r="E10" s="52">
        <v>720</v>
      </c>
      <c r="F10" s="52">
        <v>585</v>
      </c>
    </row>
    <row r="11" spans="3:6" x14ac:dyDescent="0.35">
      <c r="C11" t="s">
        <v>17</v>
      </c>
      <c r="D11" s="52">
        <v>710</v>
      </c>
      <c r="E11" s="52">
        <v>575</v>
      </c>
      <c r="F11" s="52">
        <v>630</v>
      </c>
    </row>
    <row r="12" spans="3:6" x14ac:dyDescent="0.35">
      <c r="C12" t="s">
        <v>18</v>
      </c>
      <c r="D12" s="52">
        <v>540</v>
      </c>
      <c r="E12" s="52">
        <v>680</v>
      </c>
      <c r="F12" s="52">
        <v>710</v>
      </c>
    </row>
    <row r="13" spans="3:6" x14ac:dyDescent="0.35">
      <c r="C13" t="s">
        <v>19</v>
      </c>
      <c r="D13" s="52">
        <v>545</v>
      </c>
      <c r="E13" s="52">
        <v>665</v>
      </c>
      <c r="F13" s="52">
        <v>590</v>
      </c>
    </row>
    <row r="14" spans="3:6" x14ac:dyDescent="0.35">
      <c r="C14" t="s">
        <v>21</v>
      </c>
      <c r="D14" s="52">
        <v>620</v>
      </c>
      <c r="E14" s="52">
        <v>665</v>
      </c>
      <c r="F14" s="52">
        <v>490</v>
      </c>
    </row>
    <row r="15" spans="3:6" x14ac:dyDescent="0.35">
      <c r="C15" t="s">
        <v>22</v>
      </c>
      <c r="D15" s="52">
        <v>610</v>
      </c>
      <c r="E15" s="52">
        <v>355</v>
      </c>
      <c r="F15" s="52">
        <v>540</v>
      </c>
    </row>
    <row r="16" spans="3:6" x14ac:dyDescent="0.35">
      <c r="C16" t="s">
        <v>24</v>
      </c>
      <c r="D16" s="52">
        <v>580</v>
      </c>
      <c r="E16" s="52">
        <v>675</v>
      </c>
      <c r="F16" s="52">
        <v>560</v>
      </c>
    </row>
    <row r="17" spans="3:6" x14ac:dyDescent="0.35">
      <c r="C17" t="s">
        <v>26</v>
      </c>
      <c r="D17" s="52">
        <v>530</v>
      </c>
      <c r="E17" s="52">
        <v>605</v>
      </c>
      <c r="F17" s="52">
        <v>615</v>
      </c>
    </row>
    <row r="18" spans="3:6" x14ac:dyDescent="0.35">
      <c r="C18" t="s">
        <v>28</v>
      </c>
      <c r="D18" s="52">
        <v>615</v>
      </c>
      <c r="E18" s="52">
        <v>785</v>
      </c>
      <c r="F18" s="52">
        <v>625</v>
      </c>
    </row>
    <row r="19" spans="3:6" x14ac:dyDescent="0.35">
      <c r="C19" t="s">
        <v>30</v>
      </c>
      <c r="D19" s="52">
        <v>600</v>
      </c>
      <c r="E19" s="52">
        <v>600</v>
      </c>
      <c r="F19" s="52">
        <v>570</v>
      </c>
    </row>
    <row r="20" spans="3:6" x14ac:dyDescent="0.35">
      <c r="C20" t="s">
        <v>29</v>
      </c>
      <c r="D20" s="52">
        <v>545</v>
      </c>
      <c r="E20" s="52">
        <v>605</v>
      </c>
      <c r="F20" s="52">
        <v>600</v>
      </c>
    </row>
    <row r="21" spans="3:6" x14ac:dyDescent="0.35">
      <c r="C21" t="s">
        <v>27</v>
      </c>
      <c r="D21" s="52">
        <v>320</v>
      </c>
      <c r="E21" s="52">
        <v>620</v>
      </c>
      <c r="F21" s="52">
        <v>650</v>
      </c>
    </row>
    <row r="22" spans="3:6" x14ac:dyDescent="0.35">
      <c r="C22" t="s">
        <v>25</v>
      </c>
      <c r="D22" s="52">
        <v>505</v>
      </c>
      <c r="E22" s="52">
        <v>435</v>
      </c>
      <c r="F22" s="52">
        <v>270</v>
      </c>
    </row>
    <row r="23" spans="3:6" x14ac:dyDescent="0.35">
      <c r="C23" t="s">
        <v>23</v>
      </c>
      <c r="D23" s="52">
        <v>665</v>
      </c>
      <c r="E23" s="52">
        <v>780</v>
      </c>
      <c r="F23" s="52">
        <v>670</v>
      </c>
    </row>
    <row r="24" spans="3:6" x14ac:dyDescent="0.35">
      <c r="C24" t="s">
        <v>20</v>
      </c>
      <c r="D24" s="52">
        <v>515</v>
      </c>
      <c r="E24" s="52">
        <v>755</v>
      </c>
      <c r="F24" s="52">
        <v>605</v>
      </c>
    </row>
    <row r="25" spans="3:6" x14ac:dyDescent="0.35">
      <c r="C25" t="s">
        <v>9</v>
      </c>
      <c r="D25" s="52">
        <v>505</v>
      </c>
      <c r="E25" s="52">
        <v>585</v>
      </c>
      <c r="F25" s="52">
        <v>550</v>
      </c>
    </row>
  </sheetData>
  <dataConsolidate leftLabels="1" topLabels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6581-5A50-4B46-A82F-A0E1E62E6DC4}">
  <dimension ref="E3:I83"/>
  <sheetViews>
    <sheetView tabSelected="1" workbookViewId="0">
      <selection activeCell="E3" sqref="E3:I83"/>
    </sheetView>
  </sheetViews>
  <sheetFormatPr defaultRowHeight="14.5" outlineLevelRow="1" x14ac:dyDescent="0.35"/>
  <cols>
    <col min="5" max="5" width="1.81640625" customWidth="1"/>
    <col min="6" max="6" width="16.90625" customWidth="1"/>
  </cols>
  <sheetData>
    <row r="3" spans="5:9" x14ac:dyDescent="0.35">
      <c r="G3" t="s">
        <v>3</v>
      </c>
      <c r="H3" t="s">
        <v>4</v>
      </c>
      <c r="I3" t="s">
        <v>5</v>
      </c>
    </row>
    <row r="4" spans="5:9" hidden="1" outlineLevel="1" x14ac:dyDescent="0.35">
      <c r="F4" t="s">
        <v>48</v>
      </c>
      <c r="G4" s="52">
        <f>'Report 1'!$H$2</f>
        <v>600</v>
      </c>
      <c r="H4" s="52">
        <f>'Report 1'!$I$2</f>
        <v>310</v>
      </c>
      <c r="I4" s="52">
        <f>'Report 1'!$J$2</f>
        <v>170</v>
      </c>
    </row>
    <row r="5" spans="5:9" hidden="1" outlineLevel="1" collapsed="1" x14ac:dyDescent="0.35">
      <c r="F5" t="s">
        <v>48</v>
      </c>
      <c r="G5" s="52">
        <f>'Report 2'!$G$23</f>
        <v>170</v>
      </c>
      <c r="H5" s="52">
        <f>'Report 2'!$H$23</f>
        <v>185</v>
      </c>
      <c r="I5" s="52">
        <f>'Report 2'!$I$23</f>
        <v>300</v>
      </c>
    </row>
    <row r="6" spans="5:9" hidden="1" outlineLevel="1" collapsed="1" x14ac:dyDescent="0.35">
      <c r="F6" t="s">
        <v>48</v>
      </c>
      <c r="G6" s="52">
        <f>'Report 3'!$B$3</f>
        <v>155</v>
      </c>
      <c r="H6" s="52">
        <f>'Report 3'!$C$3</f>
        <v>160</v>
      </c>
      <c r="I6" s="52">
        <f>'Report 3'!$D$3</f>
        <v>260</v>
      </c>
    </row>
    <row r="7" spans="5:9" collapsed="1" x14ac:dyDescent="0.35">
      <c r="E7" t="s">
        <v>8</v>
      </c>
      <c r="G7" s="52">
        <f>SUM(G4:G6)</f>
        <v>925</v>
      </c>
      <c r="H7" s="52">
        <f>SUM(H4:H6)</f>
        <v>655</v>
      </c>
      <c r="I7" s="52">
        <f>SUM(I4:I6)</f>
        <v>730</v>
      </c>
    </row>
    <row r="8" spans="5:9" hidden="1" outlineLevel="1" x14ac:dyDescent="0.35">
      <c r="F8" t="s">
        <v>48</v>
      </c>
      <c r="G8" s="52">
        <f>'Report 1'!$H$3</f>
        <v>170</v>
      </c>
      <c r="H8" s="52">
        <f>'Report 1'!$I$3</f>
        <v>250</v>
      </c>
      <c r="I8" s="52">
        <f>'Report 1'!$J$3</f>
        <v>220</v>
      </c>
    </row>
    <row r="9" spans="5:9" hidden="1" outlineLevel="1" collapsed="1" x14ac:dyDescent="0.35">
      <c r="F9" t="s">
        <v>48</v>
      </c>
      <c r="G9" s="52">
        <f>'Report 2'!$G$22</f>
        <v>235</v>
      </c>
      <c r="H9" s="52">
        <f>'Report 2'!$H$22</f>
        <v>205</v>
      </c>
      <c r="I9" s="52">
        <f>'Report 2'!$I$22</f>
        <v>175</v>
      </c>
    </row>
    <row r="10" spans="5:9" hidden="1" outlineLevel="1" collapsed="1" x14ac:dyDescent="0.35">
      <c r="F10" t="s">
        <v>48</v>
      </c>
      <c r="G10" s="52">
        <f>'Report 3'!$B$10</f>
        <v>140</v>
      </c>
      <c r="H10" s="52">
        <f>'Report 3'!$C$10</f>
        <v>270</v>
      </c>
      <c r="I10" s="52">
        <f>'Report 3'!$D$10</f>
        <v>205</v>
      </c>
    </row>
    <row r="11" spans="5:9" collapsed="1" x14ac:dyDescent="0.35">
      <c r="E11" t="s">
        <v>13</v>
      </c>
      <c r="G11" s="52">
        <f>SUM(G8:G10)</f>
        <v>545</v>
      </c>
      <c r="H11" s="52">
        <f>SUM(H8:H10)</f>
        <v>725</v>
      </c>
      <c r="I11" s="52">
        <f>SUM(I8:I10)</f>
        <v>600</v>
      </c>
    </row>
    <row r="12" spans="5:9" hidden="1" outlineLevel="1" x14ac:dyDescent="0.35">
      <c r="F12" t="s">
        <v>48</v>
      </c>
      <c r="G12" s="52">
        <f>'Report 1'!$H$4</f>
        <v>110</v>
      </c>
      <c r="I12" s="52">
        <f>'Report 1'!$J$4</f>
        <v>340</v>
      </c>
    </row>
    <row r="13" spans="5:9" hidden="1" outlineLevel="1" collapsed="1" x14ac:dyDescent="0.35">
      <c r="F13" t="s">
        <v>48</v>
      </c>
      <c r="G13" s="52">
        <f>'Report 2'!$G$21</f>
        <v>310</v>
      </c>
      <c r="I13" s="52">
        <f>'Report 2'!$I$21</f>
        <v>220</v>
      </c>
    </row>
    <row r="14" spans="5:9" hidden="1" outlineLevel="1" collapsed="1" x14ac:dyDescent="0.35">
      <c r="F14" t="s">
        <v>48</v>
      </c>
      <c r="G14" s="52">
        <f>'Report 3'!$B$5</f>
        <v>270</v>
      </c>
      <c r="H14" s="52">
        <f>'Report 3'!$C$5</f>
        <v>460</v>
      </c>
      <c r="I14" s="52">
        <f>'Report 3'!$D$5</f>
        <v>190</v>
      </c>
    </row>
    <row r="15" spans="5:9" collapsed="1" x14ac:dyDescent="0.35">
      <c r="E15" t="s">
        <v>14</v>
      </c>
      <c r="G15" s="52">
        <f>SUM(G12:G14)</f>
        <v>690</v>
      </c>
      <c r="H15" s="52">
        <f>SUM(H12:H14)</f>
        <v>460</v>
      </c>
      <c r="I15" s="52">
        <f>SUM(I12:I14)</f>
        <v>750</v>
      </c>
    </row>
    <row r="16" spans="5:9" hidden="1" outlineLevel="1" x14ac:dyDescent="0.35">
      <c r="F16" t="s">
        <v>48</v>
      </c>
      <c r="G16" s="52">
        <f>'Report 1'!$H$5</f>
        <v>120</v>
      </c>
      <c r="H16" s="52">
        <f>'Report 1'!$I$5</f>
        <v>180</v>
      </c>
      <c r="I16" s="52">
        <f>'Report 1'!$J$5</f>
        <v>160</v>
      </c>
    </row>
    <row r="17" spans="5:9" hidden="1" outlineLevel="1" collapsed="1" x14ac:dyDescent="0.35">
      <c r="F17" t="s">
        <v>48</v>
      </c>
      <c r="G17" s="52">
        <f>'Report 2'!$G$20</f>
        <v>280</v>
      </c>
      <c r="H17" s="52">
        <f>'Report 2'!$H$20</f>
        <v>175</v>
      </c>
    </row>
    <row r="18" spans="5:9" hidden="1" outlineLevel="1" collapsed="1" x14ac:dyDescent="0.35">
      <c r="F18" t="s">
        <v>48</v>
      </c>
      <c r="G18" s="52">
        <f>'Report 3'!$B$13</f>
        <v>190</v>
      </c>
      <c r="H18" s="52">
        <f>'Report 3'!$C$13</f>
        <v>200</v>
      </c>
      <c r="I18" s="52">
        <f>'Report 3'!$D$13</f>
        <v>120</v>
      </c>
    </row>
    <row r="19" spans="5:9" collapsed="1" x14ac:dyDescent="0.35">
      <c r="E19" t="s">
        <v>15</v>
      </c>
      <c r="G19" s="52">
        <f>SUM(G16:G18)</f>
        <v>590</v>
      </c>
      <c r="H19" s="52">
        <f>SUM(H16:H18)</f>
        <v>555</v>
      </c>
      <c r="I19" s="52">
        <f>SUM(I16:I18)</f>
        <v>280</v>
      </c>
    </row>
    <row r="20" spans="5:9" hidden="1" outlineLevel="1" x14ac:dyDescent="0.35">
      <c r="F20" t="s">
        <v>48</v>
      </c>
      <c r="G20" s="52">
        <f>'Report 1'!$H$6</f>
        <v>210</v>
      </c>
      <c r="H20" s="52">
        <f>'Report 1'!$I$6</f>
        <v>300</v>
      </c>
      <c r="I20" s="52">
        <f>'Report 1'!$J$6</f>
        <v>270</v>
      </c>
    </row>
    <row r="21" spans="5:9" hidden="1" outlineLevel="1" collapsed="1" x14ac:dyDescent="0.35">
      <c r="F21" t="s">
        <v>48</v>
      </c>
      <c r="G21" s="52">
        <f>'Report 2'!$G$19</f>
        <v>180</v>
      </c>
      <c r="H21" s="52">
        <f>'Report 2'!$H$19</f>
        <v>250</v>
      </c>
      <c r="I21" s="52">
        <f>'Report 2'!$I$19</f>
        <v>165</v>
      </c>
    </row>
    <row r="22" spans="5:9" hidden="1" outlineLevel="1" collapsed="1" x14ac:dyDescent="0.35">
      <c r="F22" t="s">
        <v>48</v>
      </c>
      <c r="G22" s="52">
        <f>'Report 3'!$B$20</f>
        <v>340</v>
      </c>
      <c r="H22" s="52">
        <f>'Report 3'!$C$20</f>
        <v>170</v>
      </c>
      <c r="I22" s="52">
        <f>'Report 3'!$D$20</f>
        <v>150</v>
      </c>
    </row>
    <row r="23" spans="5:9" collapsed="1" x14ac:dyDescent="0.35">
      <c r="E23" t="s">
        <v>16</v>
      </c>
      <c r="G23" s="52">
        <f>SUM(G20:G22)</f>
        <v>730</v>
      </c>
      <c r="H23" s="52">
        <f>SUM(H20:H22)</f>
        <v>720</v>
      </c>
      <c r="I23" s="52">
        <f>SUM(I20:I22)</f>
        <v>585</v>
      </c>
    </row>
    <row r="24" spans="5:9" hidden="1" outlineLevel="1" x14ac:dyDescent="0.35">
      <c r="F24" t="s">
        <v>48</v>
      </c>
      <c r="G24" s="52">
        <f>'Report 1'!$H$7</f>
        <v>180</v>
      </c>
      <c r="H24" s="52">
        <f>'Report 1'!$I$7</f>
        <v>260</v>
      </c>
      <c r="I24" s="52">
        <f>'Report 1'!$J$7</f>
        <v>210</v>
      </c>
    </row>
    <row r="25" spans="5:9" hidden="1" outlineLevel="1" collapsed="1" x14ac:dyDescent="0.35">
      <c r="F25" t="s">
        <v>48</v>
      </c>
      <c r="G25" s="52">
        <f>'Report 2'!$G$18</f>
        <v>340</v>
      </c>
      <c r="H25" s="52">
        <f>'Report 2'!$H$18</f>
        <v>155</v>
      </c>
      <c r="I25" s="52">
        <f>'Report 2'!$I$18</f>
        <v>170</v>
      </c>
    </row>
    <row r="26" spans="5:9" hidden="1" outlineLevel="1" collapsed="1" x14ac:dyDescent="0.35">
      <c r="F26" t="s">
        <v>48</v>
      </c>
      <c r="G26" s="52">
        <f>'Report 3'!$B$6</f>
        <v>190</v>
      </c>
      <c r="H26" s="52">
        <f>'Report 3'!$C$6</f>
        <v>160</v>
      </c>
      <c r="I26" s="52">
        <f>'Report 3'!$D$6</f>
        <v>250</v>
      </c>
    </row>
    <row r="27" spans="5:9" collapsed="1" x14ac:dyDescent="0.35">
      <c r="E27" t="s">
        <v>17</v>
      </c>
      <c r="G27" s="52">
        <f>SUM(G24:G26)</f>
        <v>710</v>
      </c>
      <c r="H27" s="52">
        <f>SUM(H24:H26)</f>
        <v>575</v>
      </c>
      <c r="I27" s="52">
        <f>SUM(I24:I26)</f>
        <v>630</v>
      </c>
    </row>
    <row r="28" spans="5:9" hidden="1" outlineLevel="1" x14ac:dyDescent="0.35">
      <c r="F28" t="s">
        <v>48</v>
      </c>
      <c r="G28" s="52">
        <f>'Report 1'!$H$8</f>
        <v>130</v>
      </c>
      <c r="H28" s="52">
        <f>'Report 1'!$I$8</f>
        <v>190</v>
      </c>
      <c r="I28" s="52">
        <f>'Report 1'!$J$8</f>
        <v>150</v>
      </c>
    </row>
    <row r="29" spans="5:9" hidden="1" outlineLevel="1" collapsed="1" x14ac:dyDescent="0.35">
      <c r="F29" t="s">
        <v>48</v>
      </c>
      <c r="G29" s="52">
        <f>'Report 2'!$G$17</f>
        <v>265</v>
      </c>
      <c r="H29" s="52">
        <f>'Report 2'!$H$17</f>
        <v>270</v>
      </c>
      <c r="I29" s="52">
        <f>'Report 2'!$I$17</f>
        <v>260</v>
      </c>
    </row>
    <row r="30" spans="5:9" hidden="1" outlineLevel="1" collapsed="1" x14ac:dyDescent="0.35">
      <c r="F30" t="s">
        <v>48</v>
      </c>
      <c r="G30" s="52">
        <f>'Report 3'!$B$7</f>
        <v>145</v>
      </c>
      <c r="H30" s="52">
        <f>'Report 3'!$C$7</f>
        <v>220</v>
      </c>
      <c r="I30" s="52">
        <f>'Report 3'!$D$7</f>
        <v>300</v>
      </c>
    </row>
    <row r="31" spans="5:9" collapsed="1" x14ac:dyDescent="0.35">
      <c r="E31" t="s">
        <v>18</v>
      </c>
      <c r="G31" s="52">
        <f>SUM(G28:G30)</f>
        <v>540</v>
      </c>
      <c r="H31" s="52">
        <f>SUM(H28:H30)</f>
        <v>680</v>
      </c>
      <c r="I31" s="52">
        <f>SUM(I28:I30)</f>
        <v>710</v>
      </c>
    </row>
    <row r="32" spans="5:9" hidden="1" outlineLevel="1" x14ac:dyDescent="0.35">
      <c r="F32" t="s">
        <v>48</v>
      </c>
      <c r="G32" s="52">
        <f>'Report 1'!$H$9</f>
        <v>175</v>
      </c>
      <c r="H32" s="52">
        <f>'Report 1'!$I$9</f>
        <v>245</v>
      </c>
      <c r="I32" s="52">
        <f>'Report 1'!$J$9</f>
        <v>215</v>
      </c>
    </row>
    <row r="33" spans="5:9" hidden="1" outlineLevel="1" collapsed="1" x14ac:dyDescent="0.35">
      <c r="F33" t="s">
        <v>48</v>
      </c>
      <c r="G33" s="52">
        <f>'Report 2'!$G$16</f>
        <v>160</v>
      </c>
      <c r="H33" s="52">
        <f>'Report 2'!$H$16</f>
        <v>110</v>
      </c>
      <c r="I33" s="52">
        <f>'Report 2'!$I$16</f>
        <v>160</v>
      </c>
    </row>
    <row r="34" spans="5:9" hidden="1" outlineLevel="1" collapsed="1" x14ac:dyDescent="0.35">
      <c r="F34" t="s">
        <v>48</v>
      </c>
      <c r="G34" s="52">
        <f>'Report 3'!$B$17</f>
        <v>210</v>
      </c>
      <c r="H34" s="52">
        <f>'Report 3'!$C$17</f>
        <v>310</v>
      </c>
      <c r="I34" s="52">
        <f>'Report 3'!$D$17</f>
        <v>215</v>
      </c>
    </row>
    <row r="35" spans="5:9" collapsed="1" x14ac:dyDescent="0.35">
      <c r="E35" t="s">
        <v>19</v>
      </c>
      <c r="G35" s="52">
        <f>SUM(G32:G34)</f>
        <v>545</v>
      </c>
      <c r="H35" s="52">
        <f>SUM(H32:H34)</f>
        <v>665</v>
      </c>
      <c r="I35" s="52">
        <f>SUM(I32:I34)</f>
        <v>590</v>
      </c>
    </row>
    <row r="36" spans="5:9" hidden="1" outlineLevel="1" x14ac:dyDescent="0.35">
      <c r="F36" t="s">
        <v>48</v>
      </c>
      <c r="G36" s="52">
        <f>'Report 1'!$H$10</f>
        <v>150</v>
      </c>
      <c r="H36" s="52">
        <f>'Report 1'!$I$10</f>
        <v>210</v>
      </c>
      <c r="I36" s="52">
        <f>'Report 1'!$J$10</f>
        <v>190</v>
      </c>
    </row>
    <row r="37" spans="5:9" hidden="1" outlineLevel="1" collapsed="1" x14ac:dyDescent="0.35">
      <c r="F37" t="s">
        <v>48</v>
      </c>
      <c r="G37" s="52">
        <f>'Report 2'!$G$15</f>
        <v>180</v>
      </c>
      <c r="H37" s="52">
        <f>'Report 2'!$H$15</f>
        <v>210</v>
      </c>
      <c r="I37" s="52">
        <f>'Report 2'!$I$15</f>
        <v>120</v>
      </c>
    </row>
    <row r="38" spans="5:9" hidden="1" outlineLevel="1" collapsed="1" x14ac:dyDescent="0.35">
      <c r="F38" t="s">
        <v>48</v>
      </c>
      <c r="G38" s="52">
        <f>'Report 3'!$B$11</f>
        <v>290</v>
      </c>
      <c r="H38" s="52">
        <f>'Report 3'!$C$11</f>
        <v>245</v>
      </c>
      <c r="I38" s="52">
        <f>'Report 3'!$D$11</f>
        <v>180</v>
      </c>
    </row>
    <row r="39" spans="5:9" collapsed="1" x14ac:dyDescent="0.35">
      <c r="E39" t="s">
        <v>21</v>
      </c>
      <c r="G39" s="52">
        <f>SUM(G36:G38)</f>
        <v>620</v>
      </c>
      <c r="H39" s="52">
        <f>SUM(H36:H38)</f>
        <v>665</v>
      </c>
      <c r="I39" s="52">
        <f>SUM(I36:I38)</f>
        <v>490</v>
      </c>
    </row>
    <row r="40" spans="5:9" hidden="1" outlineLevel="1" x14ac:dyDescent="0.35">
      <c r="F40" t="s">
        <v>48</v>
      </c>
      <c r="G40" s="52">
        <f>'Report 1'!$H$11</f>
        <v>160</v>
      </c>
      <c r="I40" s="52">
        <f>'Report 1'!$J$11</f>
        <v>180</v>
      </c>
    </row>
    <row r="41" spans="5:9" hidden="1" outlineLevel="1" collapsed="1" x14ac:dyDescent="0.35">
      <c r="F41" t="s">
        <v>48</v>
      </c>
      <c r="G41" s="52">
        <f>'Report 2'!$G$14</f>
        <v>140</v>
      </c>
      <c r="H41" s="52">
        <f>'Report 2'!$H$14</f>
        <v>215</v>
      </c>
      <c r="I41" s="52">
        <f>'Report 2'!$I$14</f>
        <v>200</v>
      </c>
    </row>
    <row r="42" spans="5:9" hidden="1" outlineLevel="1" collapsed="1" x14ac:dyDescent="0.35">
      <c r="F42" t="s">
        <v>48</v>
      </c>
      <c r="G42" s="52">
        <f>'Report 3'!$B$8</f>
        <v>310</v>
      </c>
      <c r="H42" s="52">
        <f>'Report 3'!$C$8</f>
        <v>140</v>
      </c>
      <c r="I42" s="52">
        <f>'Report 3'!$D$8</f>
        <v>160</v>
      </c>
    </row>
    <row r="43" spans="5:9" collapsed="1" x14ac:dyDescent="0.35">
      <c r="E43" t="s">
        <v>22</v>
      </c>
      <c r="G43" s="52">
        <f>SUM(G40:G42)</f>
        <v>610</v>
      </c>
      <c r="H43" s="52">
        <f>SUM(H40:H42)</f>
        <v>355</v>
      </c>
      <c r="I43" s="52">
        <f>SUM(I40:I42)</f>
        <v>540</v>
      </c>
    </row>
    <row r="44" spans="5:9" hidden="1" outlineLevel="1" x14ac:dyDescent="0.35">
      <c r="F44" t="s">
        <v>48</v>
      </c>
      <c r="G44" s="52">
        <f>'Report 1'!$H$12</f>
        <v>165</v>
      </c>
      <c r="H44" s="52">
        <f>'Report 1'!$I$12</f>
        <v>235</v>
      </c>
      <c r="I44" s="52">
        <f>'Report 1'!$J$12</f>
        <v>205</v>
      </c>
    </row>
    <row r="45" spans="5:9" hidden="1" outlineLevel="1" collapsed="1" x14ac:dyDescent="0.35">
      <c r="F45" t="s">
        <v>48</v>
      </c>
      <c r="G45" s="52">
        <f>'Report 2'!$G$13</f>
        <v>215</v>
      </c>
      <c r="H45" s="52">
        <f>'Report 2'!$H$13</f>
        <v>200</v>
      </c>
      <c r="I45" s="52">
        <f>'Report 2'!$I$13</f>
        <v>185</v>
      </c>
    </row>
    <row r="46" spans="5:9" hidden="1" outlineLevel="1" collapsed="1" x14ac:dyDescent="0.35">
      <c r="F46" t="s">
        <v>48</v>
      </c>
      <c r="G46" s="52">
        <f>'Report 3'!$B$19</f>
        <v>200</v>
      </c>
      <c r="H46" s="52">
        <f>'Report 3'!$C$19</f>
        <v>240</v>
      </c>
      <c r="I46" s="52">
        <f>'Report 3'!$D$19</f>
        <v>170</v>
      </c>
    </row>
    <row r="47" spans="5:9" collapsed="1" x14ac:dyDescent="0.35">
      <c r="E47" t="s">
        <v>24</v>
      </c>
      <c r="G47" s="52">
        <f>SUM(G44:G46)</f>
        <v>580</v>
      </c>
      <c r="H47" s="52">
        <f>SUM(H44:H46)</f>
        <v>675</v>
      </c>
      <c r="I47" s="52">
        <f>SUM(I44:I46)</f>
        <v>560</v>
      </c>
    </row>
    <row r="48" spans="5:9" hidden="1" outlineLevel="1" x14ac:dyDescent="0.35">
      <c r="F48" t="s">
        <v>48</v>
      </c>
      <c r="G48" s="52">
        <f>'Report 1'!$H$13</f>
        <v>110</v>
      </c>
      <c r="H48" s="52">
        <f>'Report 1'!$I$13</f>
        <v>220</v>
      </c>
      <c r="I48" s="52">
        <f>'Report 1'!$J$13</f>
        <v>160</v>
      </c>
    </row>
    <row r="49" spans="5:9" hidden="1" outlineLevel="1" collapsed="1" x14ac:dyDescent="0.35">
      <c r="F49" t="s">
        <v>48</v>
      </c>
      <c r="G49" s="52">
        <f>'Report 2'!$G$12</f>
        <v>100</v>
      </c>
      <c r="H49" s="52">
        <f>'Report 2'!$H$12</f>
        <v>210</v>
      </c>
      <c r="I49" s="52">
        <f>'Report 2'!$I$12</f>
        <v>220</v>
      </c>
    </row>
    <row r="50" spans="5:9" hidden="1" outlineLevel="1" collapsed="1" x14ac:dyDescent="0.35">
      <c r="F50" t="s">
        <v>48</v>
      </c>
      <c r="G50" s="52">
        <f>'Report 3'!$B$4</f>
        <v>320</v>
      </c>
      <c r="H50" s="52">
        <f>'Report 3'!$C$4</f>
        <v>175</v>
      </c>
      <c r="I50" s="52">
        <f>'Report 3'!$D$4</f>
        <v>235</v>
      </c>
    </row>
    <row r="51" spans="5:9" collapsed="1" x14ac:dyDescent="0.35">
      <c r="E51" t="s">
        <v>26</v>
      </c>
      <c r="G51" s="52">
        <f>SUM(G48:G50)</f>
        <v>530</v>
      </c>
      <c r="H51" s="52">
        <f>SUM(H48:H50)</f>
        <v>605</v>
      </c>
      <c r="I51" s="52">
        <f>SUM(I48:I50)</f>
        <v>615</v>
      </c>
    </row>
    <row r="52" spans="5:9" hidden="1" outlineLevel="1" x14ac:dyDescent="0.35">
      <c r="F52" t="s">
        <v>48</v>
      </c>
      <c r="G52" s="52">
        <f>'Report 1'!$H$14</f>
        <v>220</v>
      </c>
      <c r="H52" s="52">
        <f>'Report 1'!$I$14</f>
        <v>310</v>
      </c>
      <c r="I52" s="52">
        <f>'Report 1'!$J$14</f>
        <v>280</v>
      </c>
    </row>
    <row r="53" spans="5:9" hidden="1" outlineLevel="1" collapsed="1" x14ac:dyDescent="0.35">
      <c r="F53" t="s">
        <v>48</v>
      </c>
      <c r="G53" s="52">
        <f>'Report 2'!$G$11</f>
        <v>180</v>
      </c>
      <c r="H53" s="52">
        <f>'Report 2'!$H$11</f>
        <v>290</v>
      </c>
      <c r="I53" s="52">
        <f>'Report 2'!$I$11</f>
        <v>205</v>
      </c>
    </row>
    <row r="54" spans="5:9" hidden="1" outlineLevel="1" collapsed="1" x14ac:dyDescent="0.35">
      <c r="F54" t="s">
        <v>48</v>
      </c>
      <c r="G54" s="52">
        <f>'Report 3'!$B$18</f>
        <v>215</v>
      </c>
      <c r="H54" s="52">
        <f>'Report 3'!$C$18</f>
        <v>185</v>
      </c>
      <c r="I54" s="52">
        <f>'Report 3'!$D$18</f>
        <v>140</v>
      </c>
    </row>
    <row r="55" spans="5:9" collapsed="1" x14ac:dyDescent="0.35">
      <c r="E55" t="s">
        <v>28</v>
      </c>
      <c r="G55" s="52">
        <f>SUM(G52:G54)</f>
        <v>615</v>
      </c>
      <c r="H55" s="52">
        <f>SUM(H52:H54)</f>
        <v>785</v>
      </c>
      <c r="I55" s="52">
        <f>SUM(I52:I54)</f>
        <v>625</v>
      </c>
    </row>
    <row r="56" spans="5:9" hidden="1" outlineLevel="1" x14ac:dyDescent="0.35">
      <c r="F56" t="s">
        <v>48</v>
      </c>
      <c r="G56" s="52">
        <f>'Report 1'!$H$15</f>
        <v>140</v>
      </c>
      <c r="H56" s="52">
        <f>'Report 1'!$I$15</f>
        <v>200</v>
      </c>
      <c r="I56" s="52">
        <f>'Report 1'!$J$15</f>
        <v>170</v>
      </c>
    </row>
    <row r="57" spans="5:9" hidden="1" outlineLevel="1" collapsed="1" x14ac:dyDescent="0.35">
      <c r="F57" t="s">
        <v>48</v>
      </c>
      <c r="G57" s="52">
        <f>'Report 2'!$G$10</f>
        <v>310</v>
      </c>
      <c r="H57" s="52">
        <f>'Report 2'!$H$10</f>
        <v>150</v>
      </c>
      <c r="I57" s="52">
        <f>'Report 2'!$I$10</f>
        <v>190</v>
      </c>
    </row>
    <row r="58" spans="5:9" hidden="1" outlineLevel="1" collapsed="1" x14ac:dyDescent="0.35">
      <c r="F58" t="s">
        <v>48</v>
      </c>
      <c r="G58" s="52">
        <f>'Report 3'!$B$9</f>
        <v>150</v>
      </c>
      <c r="H58" s="52">
        <f>'Report 3'!$C$9</f>
        <v>250</v>
      </c>
      <c r="I58" s="52">
        <f>'Report 3'!$D$9</f>
        <v>210</v>
      </c>
    </row>
    <row r="59" spans="5:9" collapsed="1" x14ac:dyDescent="0.35">
      <c r="E59" t="s">
        <v>30</v>
      </c>
      <c r="G59" s="52">
        <f>SUM(G56:G58)</f>
        <v>600</v>
      </c>
      <c r="H59" s="52">
        <f>SUM(H56:H58)</f>
        <v>600</v>
      </c>
      <c r="I59" s="52">
        <f>SUM(I56:I58)</f>
        <v>570</v>
      </c>
    </row>
    <row r="60" spans="5:9" hidden="1" outlineLevel="1" x14ac:dyDescent="0.35">
      <c r="F60" t="s">
        <v>48</v>
      </c>
      <c r="G60" s="52">
        <f>'Report 1'!$H$16</f>
        <v>155</v>
      </c>
      <c r="H60" s="52">
        <f>'Report 1'!$I$16</f>
        <v>215</v>
      </c>
      <c r="I60" s="52">
        <f>'Report 1'!$J$16</f>
        <v>185</v>
      </c>
    </row>
    <row r="61" spans="5:9" hidden="1" outlineLevel="1" collapsed="1" x14ac:dyDescent="0.35">
      <c r="F61" t="s">
        <v>48</v>
      </c>
      <c r="G61" s="52">
        <f>'Report 2'!$G$9</f>
        <v>210</v>
      </c>
      <c r="H61" s="52">
        <f>'Report 2'!$H$9</f>
        <v>110</v>
      </c>
      <c r="I61" s="52">
        <f>'Report 2'!$I$9</f>
        <v>150</v>
      </c>
    </row>
    <row r="62" spans="5:9" hidden="1" outlineLevel="1" collapsed="1" x14ac:dyDescent="0.35">
      <c r="F62" t="s">
        <v>48</v>
      </c>
      <c r="G62" s="52">
        <f>'Report 3'!$B$16</f>
        <v>180</v>
      </c>
      <c r="H62" s="52">
        <f>'Report 3'!$C$16</f>
        <v>280</v>
      </c>
      <c r="I62" s="52">
        <f>'Report 3'!$D$16</f>
        <v>265</v>
      </c>
    </row>
    <row r="63" spans="5:9" collapsed="1" x14ac:dyDescent="0.35">
      <c r="E63" t="s">
        <v>29</v>
      </c>
      <c r="G63" s="52">
        <f>SUM(G60:G62)</f>
        <v>545</v>
      </c>
      <c r="H63" s="52">
        <f>SUM(H60:H62)</f>
        <v>605</v>
      </c>
      <c r="I63" s="52">
        <f>SUM(I60:I62)</f>
        <v>600</v>
      </c>
    </row>
    <row r="64" spans="5:9" hidden="1" outlineLevel="1" x14ac:dyDescent="0.35">
      <c r="F64" t="s">
        <v>48</v>
      </c>
      <c r="G64" s="52">
        <f>'Report 1'!$H$17</f>
        <v>190</v>
      </c>
      <c r="H64" s="52">
        <f>'Report 1'!$I$17</f>
        <v>270</v>
      </c>
      <c r="I64" s="52">
        <f>'Report 1'!$J$17</f>
        <v>240</v>
      </c>
    </row>
    <row r="65" spans="5:9" hidden="1" outlineLevel="1" collapsed="1" x14ac:dyDescent="0.35">
      <c r="F65" t="s">
        <v>48</v>
      </c>
      <c r="G65" s="52">
        <f>'Report 2'!$G$8</f>
        <v>130</v>
      </c>
      <c r="H65" s="52">
        <f>'Report 2'!$H$8</f>
        <v>250</v>
      </c>
      <c r="I65" s="52">
        <f>'Report 2'!$I$8</f>
        <v>190</v>
      </c>
    </row>
    <row r="66" spans="5:9" hidden="1" outlineLevel="1" collapsed="1" x14ac:dyDescent="0.35">
      <c r="F66" t="s">
        <v>48</v>
      </c>
      <c r="H66" s="52">
        <f>'Report 3'!$C$12</f>
        <v>100</v>
      </c>
      <c r="I66" s="52">
        <f>'Report 3'!$D$12</f>
        <v>220</v>
      </c>
    </row>
    <row r="67" spans="5:9" collapsed="1" x14ac:dyDescent="0.35">
      <c r="E67" t="s">
        <v>27</v>
      </c>
      <c r="G67" s="52">
        <f>SUM(G64:G66)</f>
        <v>320</v>
      </c>
      <c r="H67" s="52">
        <f>SUM(H64:H66)</f>
        <v>620</v>
      </c>
      <c r="I67" s="52">
        <f>SUM(I64:I66)</f>
        <v>650</v>
      </c>
    </row>
    <row r="68" spans="5:9" hidden="1" outlineLevel="1" x14ac:dyDescent="0.35">
      <c r="F68" t="s">
        <v>48</v>
      </c>
      <c r="G68" s="52">
        <f>'Report 1'!$H$18</f>
        <v>200</v>
      </c>
      <c r="H68" s="52">
        <f>'Report 1'!$I$18</f>
        <v>290</v>
      </c>
    </row>
    <row r="69" spans="5:9" hidden="1" outlineLevel="1" collapsed="1" x14ac:dyDescent="0.35">
      <c r="F69" t="s">
        <v>48</v>
      </c>
      <c r="G69" s="52">
        <f>'Report 2'!$G$7</f>
        <v>140</v>
      </c>
      <c r="H69" s="52">
        <f>'Report 2'!$H$7</f>
        <v>145</v>
      </c>
      <c r="I69" s="52">
        <f>'Report 2'!$I$7</f>
        <v>140</v>
      </c>
    </row>
    <row r="70" spans="5:9" hidden="1" outlineLevel="1" collapsed="1" x14ac:dyDescent="0.35">
      <c r="F70" t="s">
        <v>48</v>
      </c>
      <c r="G70" s="52">
        <f>'Report 3'!$B$14</f>
        <v>165</v>
      </c>
      <c r="I70" s="52">
        <f>'Report 3'!$D$14</f>
        <v>130</v>
      </c>
    </row>
    <row r="71" spans="5:9" collapsed="1" x14ac:dyDescent="0.35">
      <c r="E71" t="s">
        <v>25</v>
      </c>
      <c r="G71" s="52">
        <f>SUM(G68:G70)</f>
        <v>505</v>
      </c>
      <c r="H71" s="52">
        <f>SUM(H68:H70)</f>
        <v>435</v>
      </c>
      <c r="I71" s="52">
        <f>SUM(I68:I70)</f>
        <v>270</v>
      </c>
    </row>
    <row r="72" spans="5:9" hidden="1" outlineLevel="1" x14ac:dyDescent="0.35">
      <c r="F72" t="s">
        <v>48</v>
      </c>
      <c r="G72" s="52">
        <f>'Report 1'!$H$19</f>
        <v>250</v>
      </c>
      <c r="H72" s="52">
        <f>'Report 1'!$I$19</f>
        <v>140</v>
      </c>
      <c r="I72" s="52">
        <f>'Report 1'!$J$19</f>
        <v>200</v>
      </c>
    </row>
    <row r="73" spans="5:9" hidden="1" outlineLevel="1" collapsed="1" x14ac:dyDescent="0.35">
      <c r="F73" t="s">
        <v>48</v>
      </c>
      <c r="G73" s="52">
        <f>'Report 2'!$G$6</f>
        <v>245</v>
      </c>
      <c r="H73" s="52">
        <f>'Report 2'!$H$6</f>
        <v>240</v>
      </c>
      <c r="I73" s="52">
        <f>'Report 2'!$I$6</f>
        <v>235</v>
      </c>
    </row>
    <row r="74" spans="5:9" hidden="1" outlineLevel="1" collapsed="1" x14ac:dyDescent="0.35">
      <c r="F74" t="s">
        <v>48</v>
      </c>
      <c r="G74" s="52">
        <f>'Report 3'!$B$2</f>
        <v>170</v>
      </c>
      <c r="H74" s="52">
        <f>'Report 3'!$C$2</f>
        <v>400</v>
      </c>
      <c r="I74" s="52">
        <f>'Report 3'!$D$2</f>
        <v>235</v>
      </c>
    </row>
    <row r="75" spans="5:9" collapsed="1" x14ac:dyDescent="0.35">
      <c r="E75" t="s">
        <v>23</v>
      </c>
      <c r="G75" s="52">
        <f>SUM(G72:G74)</f>
        <v>665</v>
      </c>
      <c r="H75" s="52">
        <f>SUM(H72:H74)</f>
        <v>780</v>
      </c>
      <c r="I75" s="52">
        <f>SUM(I72:I74)</f>
        <v>670</v>
      </c>
    </row>
    <row r="76" spans="5:9" hidden="1" outlineLevel="1" x14ac:dyDescent="0.35">
      <c r="F76" t="s">
        <v>48</v>
      </c>
      <c r="G76" s="52">
        <f>'Report 1'!$H$20</f>
        <v>185</v>
      </c>
      <c r="H76" s="52">
        <f>'Report 1'!$I$20</f>
        <v>265</v>
      </c>
      <c r="I76" s="52">
        <f>'Report 1'!$J$20</f>
        <v>235</v>
      </c>
    </row>
    <row r="77" spans="5:9" hidden="1" outlineLevel="1" collapsed="1" x14ac:dyDescent="0.35">
      <c r="F77" t="s">
        <v>48</v>
      </c>
      <c r="G77" s="52">
        <f>'Report 2'!$G$5</f>
        <v>220</v>
      </c>
      <c r="H77" s="52">
        <f>'Report 2'!$H$5</f>
        <v>270</v>
      </c>
      <c r="I77" s="52">
        <f>'Report 2'!$I$5</f>
        <v>190</v>
      </c>
    </row>
    <row r="78" spans="5:9" hidden="1" outlineLevel="1" collapsed="1" x14ac:dyDescent="0.35">
      <c r="F78" t="s">
        <v>48</v>
      </c>
      <c r="G78" s="52">
        <f>'Report 3'!$B$21</f>
        <v>110</v>
      </c>
      <c r="H78" s="52">
        <f>'Report 3'!$C$21</f>
        <v>220</v>
      </c>
      <c r="I78" s="52">
        <f>'Report 3'!$D$21</f>
        <v>180</v>
      </c>
    </row>
    <row r="79" spans="5:9" collapsed="1" x14ac:dyDescent="0.35">
      <c r="E79" t="s">
        <v>20</v>
      </c>
      <c r="G79" s="52">
        <f>SUM(G76:G78)</f>
        <v>515</v>
      </c>
      <c r="H79" s="52">
        <f>SUM(H76:H78)</f>
        <v>755</v>
      </c>
      <c r="I79" s="52">
        <f>SUM(I76:I78)</f>
        <v>605</v>
      </c>
    </row>
    <row r="80" spans="5:9" hidden="1" outlineLevel="1" x14ac:dyDescent="0.35">
      <c r="F80" t="s">
        <v>48</v>
      </c>
      <c r="G80" s="52">
        <f>'Report 1'!$H$21</f>
        <v>145</v>
      </c>
      <c r="H80" s="52">
        <f>'Report 1'!$I$21</f>
        <v>205</v>
      </c>
      <c r="I80" s="52">
        <f>'Report 1'!$J$21</f>
        <v>175</v>
      </c>
    </row>
    <row r="81" spans="5:9" hidden="1" outlineLevel="1" collapsed="1" x14ac:dyDescent="0.35">
      <c r="F81" t="s">
        <v>48</v>
      </c>
      <c r="G81" s="52">
        <f>'Report 2'!$G$4</f>
        <v>160</v>
      </c>
      <c r="H81" s="52">
        <f>'Report 2'!$H$4</f>
        <v>170</v>
      </c>
      <c r="I81" s="52">
        <f>'Report 2'!$I$4</f>
        <v>200</v>
      </c>
    </row>
    <row r="82" spans="5:9" hidden="1" outlineLevel="1" collapsed="1" x14ac:dyDescent="0.35">
      <c r="F82" t="s">
        <v>48</v>
      </c>
      <c r="G82" s="52">
        <f>'Report 3'!$B$15</f>
        <v>200</v>
      </c>
      <c r="H82" s="52">
        <f>'Report 3'!$C$15</f>
        <v>210</v>
      </c>
      <c r="I82" s="52">
        <f>'Report 3'!$D$15</f>
        <v>175</v>
      </c>
    </row>
    <row r="83" spans="5:9" collapsed="1" x14ac:dyDescent="0.35">
      <c r="E83" t="s">
        <v>9</v>
      </c>
      <c r="G83" s="52">
        <f>SUM(G80:G82)</f>
        <v>505</v>
      </c>
      <c r="H83" s="52">
        <f>SUM(H80:H82)</f>
        <v>585</v>
      </c>
      <c r="I83" s="52">
        <f>SUM(I80:I82)</f>
        <v>550</v>
      </c>
    </row>
  </sheetData>
  <dataConsolidate leftLabels="1" topLabels="1" link="1">
    <dataRefs count="3">
      <dataRef ref="G1:J21" sheet="Report 1"/>
      <dataRef ref="F3:I23" sheet="Report 2"/>
      <dataRef ref="A1:D21" sheet="Report 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Consolidate rows</vt:lpstr>
      <vt:lpstr>Consolidate columns</vt:lpstr>
      <vt:lpstr>Report 1</vt:lpstr>
      <vt:lpstr>Report 2</vt:lpstr>
      <vt:lpstr>Report 3</vt:lpstr>
      <vt:lpstr>static</vt:lpstr>
      <vt:lpstr>dynamic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Cheusheva</dc:creator>
  <cp:lastModifiedBy>priyanka awaje</cp:lastModifiedBy>
  <dcterms:created xsi:type="dcterms:W3CDTF">2024-02-06T11:22:53Z</dcterms:created>
  <dcterms:modified xsi:type="dcterms:W3CDTF">2026-08-26T12:02:21Z</dcterms:modified>
</cp:coreProperties>
</file>