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p\Desktop\T389\EXCEL\"/>
    </mc:Choice>
  </mc:AlternateContent>
  <xr:revisionPtr revIDLastSave="0" documentId="13_ncr:1_{AA43A0AB-FABD-4059-BF94-0088E7C3ADA3}" xr6:coauthVersionLast="47" xr6:coauthVersionMax="47" xr10:uidLastSave="{00000000-0000-0000-0000-000000000000}"/>
  <bookViews>
    <workbookView xWindow="-110" yWindow="-110" windowWidth="19420" windowHeight="10420" firstSheet="2" activeTab="6" xr2:uid="{00000000-000D-0000-FFFF-FFFF00000000}"/>
  </bookViews>
  <sheets>
    <sheet name="Basic formula" sheetId="4" r:id="rId1"/>
    <sheet name="Value-if-false" sheetId="14" r:id="rId2"/>
    <sheet name="If negative number" sheetId="24" r:id="rId3"/>
    <sheet name="IF with text" sheetId="13" r:id="rId4"/>
    <sheet name="IF case-sensitive" sheetId="16" r:id="rId5"/>
    <sheet name="IF partial text" sheetId="15" r:id="rId6"/>
    <sheet name="IF with dates" sheetId="17" r:id="rId7"/>
    <sheet name="IF blank" sheetId="18" r:id="rId8"/>
    <sheet name="If two cells match" sheetId="23" r:id="rId9"/>
    <sheet name="Math operation" sheetId="19" r:id="rId10"/>
    <sheet name="Nested IFs " sheetId="20" r:id="rId11"/>
    <sheet name="Multiple conditions" sheetId="21" r:id="rId12"/>
    <sheet name="If error" sheetId="25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" i="23" l="1"/>
  <c r="I6" i="23"/>
  <c r="I5" i="23"/>
  <c r="I4" i="23"/>
  <c r="I3" i="23"/>
  <c r="I2" i="23"/>
  <c r="C3" i="4"/>
  <c r="C4" i="4"/>
  <c r="C5" i="4"/>
  <c r="C6" i="4"/>
  <c r="C7" i="4"/>
  <c r="C2" i="4"/>
  <c r="C3" i="20"/>
  <c r="C4" i="20"/>
  <c r="C5" i="20"/>
  <c r="C6" i="20"/>
  <c r="C7" i="20"/>
  <c r="C2" i="20"/>
  <c r="E1" i="17"/>
  <c r="C2" i="17"/>
  <c r="C3" i="17"/>
  <c r="C4" i="17"/>
  <c r="C5" i="17"/>
  <c r="C6" i="17"/>
  <c r="C7" i="17"/>
  <c r="C8" i="17"/>
  <c r="C9" i="17"/>
  <c r="C10" i="17"/>
  <c r="C3" i="25"/>
  <c r="C4" i="25"/>
  <c r="C5" i="25"/>
  <c r="C6" i="25"/>
  <c r="C7" i="25"/>
  <c r="C2" i="25"/>
  <c r="E4" i="25"/>
  <c r="E3" i="25"/>
  <c r="E2" i="25"/>
  <c r="C2" i="24"/>
  <c r="C3" i="24"/>
  <c r="C4" i="24"/>
  <c r="C5" i="24"/>
  <c r="C6" i="24"/>
  <c r="C7" i="24"/>
  <c r="D3" i="23"/>
  <c r="D4" i="23"/>
  <c r="D5" i="23"/>
  <c r="D6" i="23"/>
  <c r="D7" i="23"/>
  <c r="D2" i="23"/>
  <c r="E3" i="21"/>
  <c r="E4" i="21"/>
  <c r="E5" i="21"/>
  <c r="E6" i="21"/>
  <c r="E7" i="21"/>
  <c r="E2" i="21"/>
  <c r="D3" i="21"/>
  <c r="D4" i="21"/>
  <c r="D5" i="21"/>
  <c r="D6" i="21"/>
  <c r="D7" i="21"/>
  <c r="D2" i="21"/>
  <c r="C3" i="19"/>
  <c r="C4" i="19"/>
  <c r="C5" i="19"/>
  <c r="C6" i="19"/>
  <c r="C7" i="19"/>
  <c r="C2" i="19"/>
  <c r="C3" i="18"/>
  <c r="C4" i="18"/>
  <c r="C5" i="18"/>
  <c r="C6" i="18"/>
  <c r="C7" i="18"/>
  <c r="C8" i="18"/>
  <c r="C9" i="18"/>
  <c r="C10" i="18"/>
  <c r="C2" i="18"/>
  <c r="C3" i="15"/>
  <c r="C4" i="15"/>
  <c r="C5" i="15"/>
  <c r="C6" i="15"/>
  <c r="C7" i="15"/>
  <c r="C8" i="15"/>
  <c r="C9" i="15"/>
  <c r="C2" i="15"/>
  <c r="C3" i="16"/>
  <c r="C4" i="16"/>
  <c r="C5" i="16"/>
  <c r="C6" i="16"/>
  <c r="C7" i="16"/>
  <c r="C8" i="16"/>
  <c r="C9" i="16"/>
  <c r="C2" i="16"/>
  <c r="C3" i="13"/>
  <c r="C2" i="13"/>
  <c r="C8" i="13"/>
  <c r="C6" i="13"/>
  <c r="C5" i="13"/>
  <c r="C7" i="13"/>
  <c r="C9" i="13"/>
  <c r="C4" i="13"/>
  <c r="E3" i="14"/>
  <c r="E4" i="14"/>
  <c r="E5" i="14"/>
  <c r="E6" i="14"/>
  <c r="E7" i="14"/>
  <c r="E2" i="14"/>
  <c r="D3" i="14"/>
  <c r="D4" i="14"/>
  <c r="D5" i="14"/>
  <c r="D6" i="14"/>
  <c r="D7" i="14"/>
  <c r="D2" i="14"/>
  <c r="C3" i="14"/>
  <c r="C4" i="14"/>
  <c r="C5" i="14"/>
  <c r="C6" i="14"/>
  <c r="C7" i="14"/>
  <c r="C2" i="14"/>
</calcChain>
</file>

<file path=xl/sharedStrings.xml><?xml version="1.0" encoding="utf-8"?>
<sst xmlns="http://schemas.openxmlformats.org/spreadsheetml/2006/main" count="194" uniqueCount="61">
  <si>
    <t>Date</t>
  </si>
  <si>
    <t>Game</t>
  </si>
  <si>
    <t>Game 1</t>
  </si>
  <si>
    <t>Game 2</t>
  </si>
  <si>
    <t>Game 3</t>
  </si>
  <si>
    <t>Game 4</t>
  </si>
  <si>
    <t>Game 5</t>
  </si>
  <si>
    <t>Game 6</t>
  </si>
  <si>
    <t>Game 7</t>
  </si>
  <si>
    <t>Game 8</t>
  </si>
  <si>
    <t>Game 9</t>
  </si>
  <si>
    <t>Status</t>
  </si>
  <si>
    <t>Result</t>
  </si>
  <si>
    <t>Product</t>
  </si>
  <si>
    <t>Cherries</t>
  </si>
  <si>
    <t>Bananas</t>
  </si>
  <si>
    <t>Apples</t>
  </si>
  <si>
    <t>Oranges</t>
  </si>
  <si>
    <t>Delivery Status</t>
  </si>
  <si>
    <t>Action required</t>
  </si>
  <si>
    <t>Lemons</t>
  </si>
  <si>
    <t>Kiwis</t>
  </si>
  <si>
    <t>Mangos</t>
  </si>
  <si>
    <t>Peaches</t>
  </si>
  <si>
    <t>Delivered</t>
  </si>
  <si>
    <t>In transit</t>
  </si>
  <si>
    <t>Out for delivery</t>
  </si>
  <si>
    <t>Name</t>
  </si>
  <si>
    <t xml:space="preserve"> </t>
  </si>
  <si>
    <t>delivered</t>
  </si>
  <si>
    <t>DELIVERED</t>
  </si>
  <si>
    <t>Emma</t>
  </si>
  <si>
    <t>Ava</t>
  </si>
  <si>
    <t>Aiden</t>
  </si>
  <si>
    <t>Lucas</t>
  </si>
  <si>
    <t>Liam</t>
  </si>
  <si>
    <t>Ethan</t>
  </si>
  <si>
    <t>Score</t>
  </si>
  <si>
    <t>Bonus</t>
  </si>
  <si>
    <t>Over 90</t>
  </si>
  <si>
    <t>Art</t>
  </si>
  <si>
    <t>Result (AND)</t>
  </si>
  <si>
    <t>Result (OR)</t>
  </si>
  <si>
    <t>Science</t>
  </si>
  <si>
    <t>Password</t>
  </si>
  <si>
    <t>iX=(0gh6</t>
  </si>
  <si>
    <t>-#?B2)YR</t>
  </si>
  <si>
    <t>`Jup}tuO</t>
  </si>
  <si>
    <t>]|b1M&amp;Ng</t>
  </si>
  <si>
    <t>IN9!G]W1</t>
  </si>
  <si>
    <t>8qJqEf2w</t>
  </si>
  <si>
    <t>-#?B2(YR</t>
  </si>
  <si>
    <t>8qJqE2w</t>
  </si>
  <si>
    <t>Jup}TuO</t>
  </si>
  <si>
    <t>Repeat Password</t>
  </si>
  <si>
    <t>Top 3 scores</t>
  </si>
  <si>
    <t>In  top 3?</t>
  </si>
  <si>
    <t>Delivery status</t>
  </si>
  <si>
    <t xml:space="preserve">90 to 81 </t>
  </si>
  <si>
    <t xml:space="preserve">80 to 70 </t>
  </si>
  <si>
    <t xml:space="preserve">Under 70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</si>
</sst>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/>
      <top style="thin">
        <color theme="2" tint="-0.499984740745262"/>
      </top>
      <bottom/>
      <diagonal/>
    </border>
    <border>
      <left/>
      <right style="thin">
        <color theme="2" tint="-0.499984740745262"/>
      </right>
      <top style="thin">
        <color theme="2" tint="-0.499984740745262"/>
      </top>
      <bottom/>
      <diagonal/>
    </border>
    <border>
      <left style="thin">
        <color theme="2" tint="-0.499984740745262"/>
      </left>
      <right/>
      <top/>
      <bottom/>
      <diagonal/>
    </border>
    <border>
      <left/>
      <right style="thin">
        <color theme="2" tint="-0.499984740745262"/>
      </right>
      <top/>
      <bottom/>
      <diagonal/>
    </border>
    <border>
      <left style="thin">
        <color theme="2" tint="-0.499984740745262"/>
      </left>
      <right/>
      <top/>
      <bottom style="thin">
        <color theme="2" tint="-0.499984740745262"/>
      </bottom>
      <diagonal/>
    </border>
    <border>
      <left/>
      <right style="thin">
        <color theme="2" tint="-0.499984740745262"/>
      </right>
      <top/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/>
      <diagonal/>
    </border>
    <border>
      <left style="thin">
        <color theme="2" tint="-0.499984740745262"/>
      </left>
      <right style="thin">
        <color theme="2" tint="-0.499984740745262"/>
      </right>
      <top/>
      <bottom/>
      <diagonal/>
    </border>
    <border>
      <left style="thin">
        <color theme="2" tint="-0.499984740745262"/>
      </left>
      <right style="thin">
        <color theme="2" tint="-0.499984740745262"/>
      </right>
      <top/>
      <bottom style="thin">
        <color theme="2" tint="-0.499984740745262"/>
      </bottom>
      <diagonal/>
    </border>
  </borders>
  <cellStyleXfs count="3">
    <xf numFmtId="0" fontId="0" fillId="0" borderId="0"/>
    <xf numFmtId="0" fontId="4" fillId="0" borderId="0"/>
    <xf numFmtId="0" fontId="3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/>
    <xf numFmtId="0" fontId="1" fillId="2" borderId="0" xfId="0" applyFont="1" applyFill="1"/>
    <xf numFmtId="0" fontId="0" fillId="0" borderId="0" xfId="0" applyAlignment="1">
      <alignment horizontal="center"/>
    </xf>
    <xf numFmtId="0" fontId="2" fillId="0" borderId="1" xfId="0" applyFont="1" applyBorder="1"/>
    <xf numFmtId="0" fontId="1" fillId="3" borderId="2" xfId="0" applyFont="1" applyFill="1" applyBorder="1"/>
    <xf numFmtId="0" fontId="1" fillId="3" borderId="3" xfId="0" applyFont="1" applyFill="1" applyBorder="1"/>
    <xf numFmtId="0" fontId="0" fillId="0" borderId="4" xfId="0" applyBorder="1"/>
    <xf numFmtId="9" fontId="0" fillId="0" borderId="5" xfId="0" applyNumberFormat="1" applyBorder="1"/>
    <xf numFmtId="0" fontId="0" fillId="0" borderId="6" xfId="0" applyBorder="1"/>
    <xf numFmtId="9" fontId="0" fillId="0" borderId="7" xfId="0" applyNumberFormat="1" applyBorder="1"/>
    <xf numFmtId="49" fontId="0" fillId="0" borderId="0" xfId="0" applyNumberFormat="1"/>
    <xf numFmtId="0" fontId="1" fillId="3" borderId="8" xfId="0" applyFont="1" applyFill="1" applyBorder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9" fontId="0" fillId="0" borderId="0" xfId="0" applyNumberFormat="1"/>
  </cellXfs>
  <cellStyles count="3">
    <cellStyle name="Hyperlink 3" xfId="2" xr:uid="{2BB032AC-2264-460F-A340-19ECE35ABB9E}"/>
    <cellStyle name="Normal" xfId="0" builtinId="0"/>
    <cellStyle name="Normal 3" xfId="1" xr:uid="{55F6CED5-4708-4380-A3E6-289AC6C6EFFC}"/>
  </cellStyles>
  <dxfs count="0"/>
  <tableStyles count="0" defaultTableStyle="TableStyleLight14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8"/>
  <sheetViews>
    <sheetView workbookViewId="0">
      <selection activeCell="D15" sqref="D15"/>
    </sheetView>
  </sheetViews>
  <sheetFormatPr defaultRowHeight="14.5" x14ac:dyDescent="0.35"/>
  <sheetData>
    <row r="1" spans="1:3" x14ac:dyDescent="0.35">
      <c r="A1" s="3" t="s">
        <v>27</v>
      </c>
      <c r="B1" s="3" t="s">
        <v>37</v>
      </c>
      <c r="C1" s="3" t="s">
        <v>12</v>
      </c>
    </row>
    <row r="2" spans="1:3" x14ac:dyDescent="0.35">
      <c r="A2" t="s">
        <v>33</v>
      </c>
      <c r="B2">
        <v>88</v>
      </c>
      <c r="C2" s="1" t="str">
        <f>IF(B2&gt;80, "Good", "Bad")</f>
        <v>Good</v>
      </c>
    </row>
    <row r="3" spans="1:3" x14ac:dyDescent="0.35">
      <c r="A3" t="s">
        <v>32</v>
      </c>
      <c r="B3">
        <v>61</v>
      </c>
      <c r="C3" s="1" t="str">
        <f t="shared" ref="C3:C7" si="0">IF(B3&gt;80, "Good", "Bad")</f>
        <v>Bad</v>
      </c>
    </row>
    <row r="4" spans="1:3" x14ac:dyDescent="0.35">
      <c r="A4" t="s">
        <v>31</v>
      </c>
      <c r="B4">
        <v>94</v>
      </c>
      <c r="C4" s="1" t="str">
        <f t="shared" si="0"/>
        <v>Good</v>
      </c>
    </row>
    <row r="5" spans="1:3" x14ac:dyDescent="0.35">
      <c r="A5" t="s">
        <v>36</v>
      </c>
      <c r="B5">
        <v>73</v>
      </c>
      <c r="C5" s="1" t="str">
        <f t="shared" si="0"/>
        <v>Bad</v>
      </c>
    </row>
    <row r="6" spans="1:3" x14ac:dyDescent="0.35">
      <c r="A6" t="s">
        <v>35</v>
      </c>
      <c r="B6">
        <v>64</v>
      </c>
      <c r="C6" s="1" t="str">
        <f t="shared" si="0"/>
        <v>Bad</v>
      </c>
    </row>
    <row r="7" spans="1:3" x14ac:dyDescent="0.35">
      <c r="A7" t="s">
        <v>34</v>
      </c>
      <c r="B7">
        <v>83</v>
      </c>
      <c r="C7" s="1" t="str">
        <f t="shared" si="0"/>
        <v>Good</v>
      </c>
    </row>
    <row r="18" spans="7:7" x14ac:dyDescent="0.35">
      <c r="G18" t="s">
        <v>28</v>
      </c>
    </row>
  </sheetData>
  <sortState xmlns:xlrd2="http://schemas.microsoft.com/office/spreadsheetml/2017/richdata2" ref="A2:A7">
    <sortCondition ref="A2:A7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3EAA2-67D3-43F3-BFFF-A684B30C0BAD}">
  <dimension ref="A1:G18"/>
  <sheetViews>
    <sheetView workbookViewId="0">
      <selection activeCell="C2" sqref="C2"/>
    </sheetView>
  </sheetViews>
  <sheetFormatPr defaultRowHeight="14.5" x14ac:dyDescent="0.35"/>
  <cols>
    <col min="1" max="5" width="15" customWidth="1"/>
  </cols>
  <sheetData>
    <row r="1" spans="1:5" x14ac:dyDescent="0.35">
      <c r="A1" s="3" t="s">
        <v>27</v>
      </c>
      <c r="B1" s="3" t="s">
        <v>37</v>
      </c>
      <c r="C1" s="3" t="s">
        <v>12</v>
      </c>
      <c r="D1" s="3" t="s">
        <v>12</v>
      </c>
      <c r="E1" s="3" t="s">
        <v>12</v>
      </c>
    </row>
    <row r="2" spans="1:5" x14ac:dyDescent="0.35">
      <c r="A2" t="s">
        <v>33</v>
      </c>
      <c r="B2" s="4">
        <v>88</v>
      </c>
      <c r="C2" s="4" t="str">
        <f>IF(B2&gt;80, "Good")</f>
        <v>Good</v>
      </c>
      <c r="D2" s="4" t="str">
        <f>IF(B2&gt;80, "Good",)</f>
        <v>Good</v>
      </c>
      <c r="E2" s="4" t="str">
        <f>IF(D2&gt;80, "Good", "")</f>
        <v>Good</v>
      </c>
    </row>
    <row r="3" spans="1:5" x14ac:dyDescent="0.35">
      <c r="A3" t="s">
        <v>32</v>
      </c>
      <c r="B3" s="4">
        <v>61</v>
      </c>
      <c r="C3" s="4" t="b">
        <f t="shared" ref="C3:C7" si="0">IF(B3&gt;80, "Good")</f>
        <v>0</v>
      </c>
      <c r="D3" s="4">
        <f t="shared" ref="D3:D7" si="1">IF(B3&gt;80, "Good",)</f>
        <v>0</v>
      </c>
      <c r="E3" s="4" t="str">
        <f t="shared" ref="E3:E7" si="2">IF(D3&gt;80, "Good", "")</f>
        <v/>
      </c>
    </row>
    <row r="4" spans="1:5" x14ac:dyDescent="0.35">
      <c r="A4" t="s">
        <v>31</v>
      </c>
      <c r="B4" s="4">
        <v>94</v>
      </c>
      <c r="C4" s="4" t="str">
        <f t="shared" si="0"/>
        <v>Good</v>
      </c>
      <c r="D4" s="4" t="str">
        <f t="shared" si="1"/>
        <v>Good</v>
      </c>
      <c r="E4" s="4" t="str">
        <f t="shared" si="2"/>
        <v>Good</v>
      </c>
    </row>
    <row r="5" spans="1:5" x14ac:dyDescent="0.35">
      <c r="A5" t="s">
        <v>36</v>
      </c>
      <c r="B5" s="4">
        <v>73</v>
      </c>
      <c r="C5" s="4" t="b">
        <f t="shared" si="0"/>
        <v>0</v>
      </c>
      <c r="D5" s="4">
        <f t="shared" si="1"/>
        <v>0</v>
      </c>
      <c r="E5" s="4" t="str">
        <f t="shared" si="2"/>
        <v/>
      </c>
    </row>
    <row r="6" spans="1:5" x14ac:dyDescent="0.35">
      <c r="A6" t="s">
        <v>35</v>
      </c>
      <c r="B6" s="4">
        <v>64</v>
      </c>
      <c r="C6" s="4" t="b">
        <f t="shared" si="0"/>
        <v>0</v>
      </c>
      <c r="D6" s="4">
        <f t="shared" si="1"/>
        <v>0</v>
      </c>
      <c r="E6" s="4" t="str">
        <f t="shared" si="2"/>
        <v/>
      </c>
    </row>
    <row r="7" spans="1:5" x14ac:dyDescent="0.35">
      <c r="A7" t="s">
        <v>34</v>
      </c>
      <c r="B7" s="4">
        <v>83</v>
      </c>
      <c r="C7" s="4" t="str">
        <f t="shared" si="0"/>
        <v>Good</v>
      </c>
      <c r="D7" s="4" t="str">
        <f t="shared" si="1"/>
        <v>Good</v>
      </c>
      <c r="E7" s="4" t="str">
        <f t="shared" si="2"/>
        <v>Good</v>
      </c>
    </row>
    <row r="18" spans="7:7" x14ac:dyDescent="0.35">
      <c r="G18" t="s">
        <v>28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36528-7CDD-45D4-BFD9-CDD10C5B69BC}">
  <dimension ref="A1:G18"/>
  <sheetViews>
    <sheetView workbookViewId="0">
      <selection activeCell="C2" sqref="C2"/>
    </sheetView>
  </sheetViews>
  <sheetFormatPr defaultRowHeight="14.5" x14ac:dyDescent="0.35"/>
  <sheetData>
    <row r="1" spans="1:3" x14ac:dyDescent="0.35">
      <c r="A1" s="3" t="s">
        <v>27</v>
      </c>
      <c r="B1" s="3" t="s">
        <v>37</v>
      </c>
      <c r="C1" s="3" t="s">
        <v>11</v>
      </c>
    </row>
    <row r="2" spans="1:3" x14ac:dyDescent="0.35">
      <c r="A2" t="s">
        <v>33</v>
      </c>
      <c r="B2">
        <v>88</v>
      </c>
      <c r="C2" t="str">
        <f>IF(B2&lt;0, "Invalid", "")</f>
        <v/>
      </c>
    </row>
    <row r="3" spans="1:3" x14ac:dyDescent="0.35">
      <c r="A3" t="s">
        <v>32</v>
      </c>
      <c r="B3">
        <v>-62</v>
      </c>
      <c r="C3" t="str">
        <f t="shared" ref="C3:C7" si="0">IF(B3&lt;0, "Invalid", "")</f>
        <v>Invalid</v>
      </c>
    </row>
    <row r="4" spans="1:3" x14ac:dyDescent="0.35">
      <c r="A4" t="s">
        <v>31</v>
      </c>
      <c r="B4">
        <v>94</v>
      </c>
      <c r="C4" t="str">
        <f t="shared" si="0"/>
        <v/>
      </c>
    </row>
    <row r="5" spans="1:3" x14ac:dyDescent="0.35">
      <c r="A5" t="s">
        <v>36</v>
      </c>
      <c r="B5">
        <v>73</v>
      </c>
      <c r="C5" t="str">
        <f t="shared" si="0"/>
        <v/>
      </c>
    </row>
    <row r="6" spans="1:3" x14ac:dyDescent="0.35">
      <c r="A6" t="s">
        <v>35</v>
      </c>
      <c r="B6">
        <v>-10</v>
      </c>
      <c r="C6" t="str">
        <f t="shared" si="0"/>
        <v>Invalid</v>
      </c>
    </row>
    <row r="7" spans="1:3" x14ac:dyDescent="0.35">
      <c r="A7" t="s">
        <v>34</v>
      </c>
      <c r="B7">
        <v>83</v>
      </c>
      <c r="C7" t="str">
        <f t="shared" si="0"/>
        <v/>
      </c>
    </row>
    <row r="18" spans="7:7" x14ac:dyDescent="0.35">
      <c r="G18" t="s">
        <v>28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D6BD5-9B1D-44DB-B5E7-C2DB6AE4E73A}">
  <dimension ref="A1:J21"/>
  <sheetViews>
    <sheetView workbookViewId="0">
      <selection activeCell="C2" sqref="C2"/>
    </sheetView>
  </sheetViews>
  <sheetFormatPr defaultRowHeight="14.5" x14ac:dyDescent="0.35"/>
  <cols>
    <col min="1" max="1" width="13.453125" customWidth="1"/>
    <col min="2" max="2" width="18" customWidth="1"/>
    <col min="3" max="3" width="15.54296875" customWidth="1"/>
  </cols>
  <sheetData>
    <row r="1" spans="1:8" x14ac:dyDescent="0.35">
      <c r="A1" s="3" t="s">
        <v>13</v>
      </c>
      <c r="B1" s="3" t="s">
        <v>57</v>
      </c>
      <c r="C1" s="3" t="s">
        <v>19</v>
      </c>
    </row>
    <row r="2" spans="1:8" x14ac:dyDescent="0.35">
      <c r="A2" t="s">
        <v>16</v>
      </c>
      <c r="B2" t="s">
        <v>29</v>
      </c>
      <c r="C2" s="4" t="str">
        <f t="shared" ref="C2:C9" si="0">IF(B2="delivered", "No", "Yes")</f>
        <v>No</v>
      </c>
    </row>
    <row r="3" spans="1:8" x14ac:dyDescent="0.35">
      <c r="A3" t="s">
        <v>15</v>
      </c>
      <c r="B3" t="s">
        <v>25</v>
      </c>
      <c r="C3" s="4" t="str">
        <f t="shared" si="0"/>
        <v>Yes</v>
      </c>
    </row>
    <row r="4" spans="1:8" x14ac:dyDescent="0.35">
      <c r="A4" t="s">
        <v>14</v>
      </c>
      <c r="B4" t="s">
        <v>24</v>
      </c>
      <c r="C4" s="4" t="str">
        <f t="shared" si="0"/>
        <v>No</v>
      </c>
    </row>
    <row r="5" spans="1:8" x14ac:dyDescent="0.35">
      <c r="A5" t="s">
        <v>21</v>
      </c>
      <c r="B5" t="s">
        <v>26</v>
      </c>
      <c r="C5" s="4" t="str">
        <f t="shared" si="0"/>
        <v>Yes</v>
      </c>
    </row>
    <row r="6" spans="1:8" x14ac:dyDescent="0.35">
      <c r="A6" t="s">
        <v>20</v>
      </c>
      <c r="B6" t="s">
        <v>25</v>
      </c>
      <c r="C6" s="4" t="str">
        <f t="shared" si="0"/>
        <v>Yes</v>
      </c>
    </row>
    <row r="7" spans="1:8" x14ac:dyDescent="0.35">
      <c r="A7" t="s">
        <v>22</v>
      </c>
      <c r="B7" t="s">
        <v>24</v>
      </c>
      <c r="C7" s="4" t="str">
        <f t="shared" si="0"/>
        <v>No</v>
      </c>
    </row>
    <row r="8" spans="1:8" x14ac:dyDescent="0.35">
      <c r="A8" t="s">
        <v>17</v>
      </c>
      <c r="B8" t="s">
        <v>30</v>
      </c>
      <c r="C8" s="4" t="str">
        <f t="shared" si="0"/>
        <v>No</v>
      </c>
      <c r="H8" t="s">
        <v>28</v>
      </c>
    </row>
    <row r="9" spans="1:8" x14ac:dyDescent="0.35">
      <c r="A9" t="s">
        <v>23</v>
      </c>
      <c r="B9" t="s">
        <v>26</v>
      </c>
      <c r="C9" s="4" t="str">
        <f t="shared" si="0"/>
        <v>Yes</v>
      </c>
    </row>
    <row r="21" spans="10:10" x14ac:dyDescent="0.35">
      <c r="J21" t="s">
        <v>28</v>
      </c>
    </row>
  </sheetData>
  <sortState xmlns:xlrd2="http://schemas.microsoft.com/office/spreadsheetml/2017/richdata2" ref="A2:C9">
    <sortCondition ref="A2:A9"/>
  </sortState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1C8AD-F039-4941-80DA-5D987A4A2B45}">
  <dimension ref="A1:J21"/>
  <sheetViews>
    <sheetView workbookViewId="0">
      <selection activeCell="C2" sqref="C2"/>
    </sheetView>
  </sheetViews>
  <sheetFormatPr defaultRowHeight="14.5" x14ac:dyDescent="0.35"/>
  <cols>
    <col min="1" max="1" width="13.453125" customWidth="1"/>
    <col min="2" max="2" width="18" customWidth="1"/>
    <col min="3" max="3" width="15.54296875" customWidth="1"/>
  </cols>
  <sheetData>
    <row r="1" spans="1:8" x14ac:dyDescent="0.35">
      <c r="A1" s="3" t="s">
        <v>13</v>
      </c>
      <c r="B1" s="3" t="s">
        <v>18</v>
      </c>
      <c r="C1" s="3" t="s">
        <v>19</v>
      </c>
    </row>
    <row r="2" spans="1:8" x14ac:dyDescent="0.35">
      <c r="A2" t="s">
        <v>16</v>
      </c>
      <c r="B2" t="s">
        <v>29</v>
      </c>
      <c r="C2" s="4" t="str">
        <f>IF(EXACT(B2,"DELIVERED"), "No", "Yes")</f>
        <v>Yes</v>
      </c>
    </row>
    <row r="3" spans="1:8" x14ac:dyDescent="0.35">
      <c r="A3" t="s">
        <v>15</v>
      </c>
      <c r="B3" t="s">
        <v>25</v>
      </c>
      <c r="C3" s="4" t="str">
        <f t="shared" ref="C3:C9" si="0">IF(EXACT(B3,"DELIVERED"), "No", "Yes")</f>
        <v>Yes</v>
      </c>
    </row>
    <row r="4" spans="1:8" x14ac:dyDescent="0.35">
      <c r="A4" t="s">
        <v>14</v>
      </c>
      <c r="B4" t="s">
        <v>24</v>
      </c>
      <c r="C4" s="4" t="str">
        <f t="shared" si="0"/>
        <v>Yes</v>
      </c>
    </row>
    <row r="5" spans="1:8" x14ac:dyDescent="0.35">
      <c r="A5" t="s">
        <v>21</v>
      </c>
      <c r="B5" t="s">
        <v>26</v>
      </c>
      <c r="C5" s="4" t="str">
        <f t="shared" si="0"/>
        <v>Yes</v>
      </c>
    </row>
    <row r="6" spans="1:8" x14ac:dyDescent="0.35">
      <c r="A6" t="s">
        <v>20</v>
      </c>
      <c r="B6" t="s">
        <v>25</v>
      </c>
      <c r="C6" s="4" t="str">
        <f t="shared" si="0"/>
        <v>Yes</v>
      </c>
    </row>
    <row r="7" spans="1:8" x14ac:dyDescent="0.35">
      <c r="A7" t="s">
        <v>22</v>
      </c>
      <c r="B7" t="s">
        <v>24</v>
      </c>
      <c r="C7" s="4" t="str">
        <f t="shared" si="0"/>
        <v>Yes</v>
      </c>
    </row>
    <row r="8" spans="1:8" x14ac:dyDescent="0.35">
      <c r="A8" t="s">
        <v>17</v>
      </c>
      <c r="B8" t="s">
        <v>30</v>
      </c>
      <c r="C8" s="4" t="str">
        <f t="shared" si="0"/>
        <v>No</v>
      </c>
      <c r="H8" t="s">
        <v>28</v>
      </c>
    </row>
    <row r="9" spans="1:8" x14ac:dyDescent="0.35">
      <c r="A9" t="s">
        <v>23</v>
      </c>
      <c r="B9" t="s">
        <v>26</v>
      </c>
      <c r="C9" s="4" t="str">
        <f t="shared" si="0"/>
        <v>Yes</v>
      </c>
    </row>
    <row r="21" spans="10:10" x14ac:dyDescent="0.35">
      <c r="J21" t="s">
        <v>28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E3C67-2331-4E91-97E2-116D50D54542}">
  <dimension ref="A1:I21"/>
  <sheetViews>
    <sheetView workbookViewId="0">
      <selection activeCell="C2" sqref="C2"/>
    </sheetView>
  </sheetViews>
  <sheetFormatPr defaultRowHeight="14.5" x14ac:dyDescent="0.35"/>
  <cols>
    <col min="1" max="1" width="13.453125" customWidth="1"/>
    <col min="2" max="2" width="18" customWidth="1"/>
    <col min="3" max="3" width="15.54296875" customWidth="1"/>
  </cols>
  <sheetData>
    <row r="1" spans="1:7" x14ac:dyDescent="0.35">
      <c r="A1" s="3" t="s">
        <v>13</v>
      </c>
      <c r="B1" s="3" t="s">
        <v>18</v>
      </c>
      <c r="C1" s="3" t="s">
        <v>19</v>
      </c>
    </row>
    <row r="2" spans="1:7" x14ac:dyDescent="0.35">
      <c r="A2" t="s">
        <v>16</v>
      </c>
      <c r="B2" t="s">
        <v>29</v>
      </c>
      <c r="C2" s="4" t="str">
        <f>IF(ISNUMBER(SEARCH("deliv", B2)), "No", "Yes")</f>
        <v>No</v>
      </c>
    </row>
    <row r="3" spans="1:7" x14ac:dyDescent="0.35">
      <c r="A3" t="s">
        <v>15</v>
      </c>
      <c r="B3" t="s">
        <v>25</v>
      </c>
      <c r="C3" s="4" t="str">
        <f t="shared" ref="C3:C9" si="0">IF(ISNUMBER(SEARCH("deliv", B3)), "No", "Yes")</f>
        <v>Yes</v>
      </c>
    </row>
    <row r="4" spans="1:7" x14ac:dyDescent="0.35">
      <c r="A4" t="s">
        <v>14</v>
      </c>
      <c r="B4" t="s">
        <v>24</v>
      </c>
      <c r="C4" s="4" t="str">
        <f t="shared" si="0"/>
        <v>No</v>
      </c>
    </row>
    <row r="5" spans="1:7" x14ac:dyDescent="0.35">
      <c r="A5" t="s">
        <v>21</v>
      </c>
      <c r="B5" t="s">
        <v>26</v>
      </c>
      <c r="C5" s="4" t="str">
        <f t="shared" si="0"/>
        <v>No</v>
      </c>
    </row>
    <row r="6" spans="1:7" x14ac:dyDescent="0.35">
      <c r="A6" t="s">
        <v>20</v>
      </c>
      <c r="B6" t="s">
        <v>25</v>
      </c>
      <c r="C6" s="4" t="str">
        <f t="shared" si="0"/>
        <v>Yes</v>
      </c>
    </row>
    <row r="7" spans="1:7" x14ac:dyDescent="0.35">
      <c r="A7" t="s">
        <v>22</v>
      </c>
      <c r="B7" t="s">
        <v>24</v>
      </c>
      <c r="C7" s="4" t="str">
        <f t="shared" si="0"/>
        <v>No</v>
      </c>
    </row>
    <row r="8" spans="1:7" x14ac:dyDescent="0.35">
      <c r="A8" t="s">
        <v>17</v>
      </c>
      <c r="B8" t="s">
        <v>30</v>
      </c>
      <c r="C8" s="4" t="str">
        <f t="shared" si="0"/>
        <v>No</v>
      </c>
      <c r="G8" t="s">
        <v>28</v>
      </c>
    </row>
    <row r="9" spans="1:7" x14ac:dyDescent="0.35">
      <c r="A9" t="s">
        <v>23</v>
      </c>
      <c r="B9" t="s">
        <v>26</v>
      </c>
      <c r="C9" s="4" t="str">
        <f t="shared" si="0"/>
        <v>No</v>
      </c>
    </row>
    <row r="21" spans="9:9" x14ac:dyDescent="0.35">
      <c r="I21" t="s">
        <v>28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8A0CF-CFCD-40F3-9255-C19C5D6939DE}">
  <dimension ref="A1:I10"/>
  <sheetViews>
    <sheetView tabSelected="1" workbookViewId="0">
      <selection activeCell="C2" sqref="C2"/>
    </sheetView>
  </sheetViews>
  <sheetFormatPr defaultRowHeight="14.5" x14ac:dyDescent="0.35"/>
  <cols>
    <col min="1" max="1" width="9.81640625" customWidth="1"/>
    <col min="2" max="2" width="11.26953125" customWidth="1"/>
    <col min="3" max="3" width="14.453125" customWidth="1"/>
    <col min="5" max="5" width="17" customWidth="1"/>
  </cols>
  <sheetData>
    <row r="1" spans="1:9" x14ac:dyDescent="0.35">
      <c r="A1" s="3" t="s">
        <v>1</v>
      </c>
      <c r="B1" s="3" t="s">
        <v>0</v>
      </c>
      <c r="C1" s="3" t="s">
        <v>11</v>
      </c>
      <c r="E1" s="5" t="str">
        <f ca="1">"Today is "&amp;TEXT(TODAY(), "dd-mmm-yy")</f>
        <v>Today is 12-Sep-26</v>
      </c>
    </row>
    <row r="2" spans="1:9" x14ac:dyDescent="0.35">
      <c r="A2" t="s">
        <v>2</v>
      </c>
      <c r="B2" s="2">
        <v>44776.325428240743</v>
      </c>
      <c r="C2" t="str">
        <f ca="1">IF(B2&gt;TODAY(), "Coming soon", "Completed")</f>
        <v>Completed</v>
      </c>
    </row>
    <row r="3" spans="1:9" x14ac:dyDescent="0.35">
      <c r="A3" t="s">
        <v>3</v>
      </c>
      <c r="B3" s="2">
        <v>44811.726469907408</v>
      </c>
      <c r="C3" t="str">
        <f t="shared" ref="C3:C10" ca="1" si="0">IF(B3&gt;TODAY(), "Coming soon", "Completed")</f>
        <v>Completed</v>
      </c>
    </row>
    <row r="4" spans="1:9" x14ac:dyDescent="0.35">
      <c r="A4" t="s">
        <v>4</v>
      </c>
      <c r="B4" s="2">
        <v>44700.567650462966</v>
      </c>
      <c r="C4" t="str">
        <f t="shared" ca="1" si="0"/>
        <v>Completed</v>
      </c>
    </row>
    <row r="5" spans="1:9" x14ac:dyDescent="0.35">
      <c r="A5" t="s">
        <v>5</v>
      </c>
      <c r="B5" s="2">
        <v>44718.698819444442</v>
      </c>
      <c r="C5" t="str">
        <f t="shared" ca="1" si="0"/>
        <v>Completed</v>
      </c>
    </row>
    <row r="6" spans="1:9" x14ac:dyDescent="0.35">
      <c r="A6" t="s">
        <v>6</v>
      </c>
      <c r="B6" s="2">
        <v>44775.694803240738</v>
      </c>
      <c r="C6" t="str">
        <f t="shared" ca="1" si="0"/>
        <v>Completed</v>
      </c>
    </row>
    <row r="7" spans="1:9" x14ac:dyDescent="0.35">
      <c r="A7" t="s">
        <v>7</v>
      </c>
      <c r="B7" s="2">
        <v>44742.876712962963</v>
      </c>
      <c r="C7" t="str">
        <f t="shared" ca="1" si="0"/>
        <v>Completed</v>
      </c>
    </row>
    <row r="8" spans="1:9" x14ac:dyDescent="0.35">
      <c r="A8" t="s">
        <v>8</v>
      </c>
      <c r="B8" s="2">
        <v>44704.218958333331</v>
      </c>
      <c r="C8" t="str">
        <f t="shared" ca="1" si="0"/>
        <v>Completed</v>
      </c>
    </row>
    <row r="9" spans="1:9" x14ac:dyDescent="0.35">
      <c r="A9" t="s">
        <v>9</v>
      </c>
      <c r="B9" s="2">
        <v>44719.58934027778</v>
      </c>
      <c r="C9" t="str">
        <f t="shared" ca="1" si="0"/>
        <v>Completed</v>
      </c>
      <c r="I9" t="s">
        <v>28</v>
      </c>
    </row>
    <row r="10" spans="1:9" x14ac:dyDescent="0.35">
      <c r="A10" t="s">
        <v>10</v>
      </c>
      <c r="B10" s="2">
        <v>44754.088171296295</v>
      </c>
      <c r="C10" t="str">
        <f t="shared" ca="1" si="0"/>
        <v>Completed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58C54-CFDD-4A0E-892C-D6E4A1A662F5}">
  <dimension ref="A1:I10"/>
  <sheetViews>
    <sheetView workbookViewId="0">
      <selection activeCell="C2" sqref="C2"/>
    </sheetView>
  </sheetViews>
  <sheetFormatPr defaultRowHeight="14.5" x14ac:dyDescent="0.35"/>
  <cols>
    <col min="1" max="1" width="9.81640625" customWidth="1"/>
    <col min="2" max="2" width="11.26953125" customWidth="1"/>
    <col min="3" max="3" width="14.453125" customWidth="1"/>
  </cols>
  <sheetData>
    <row r="1" spans="1:9" x14ac:dyDescent="0.35">
      <c r="A1" s="3" t="s">
        <v>1</v>
      </c>
      <c r="B1" s="3" t="s">
        <v>0</v>
      </c>
      <c r="C1" s="3" t="s">
        <v>11</v>
      </c>
    </row>
    <row r="2" spans="1:9" x14ac:dyDescent="0.35">
      <c r="A2" t="s">
        <v>2</v>
      </c>
      <c r="B2" s="2">
        <v>44776.325428240743</v>
      </c>
      <c r="C2" t="str">
        <f>IF(B2="", "", "Completed")</f>
        <v>Completed</v>
      </c>
    </row>
    <row r="3" spans="1:9" x14ac:dyDescent="0.35">
      <c r="A3" t="s">
        <v>3</v>
      </c>
      <c r="B3" s="2"/>
      <c r="C3" t="str">
        <f t="shared" ref="C3:C10" si="0">IF(B3="", "", "Completed")</f>
        <v/>
      </c>
    </row>
    <row r="4" spans="1:9" x14ac:dyDescent="0.35">
      <c r="A4" t="s">
        <v>4</v>
      </c>
      <c r="B4" s="2">
        <v>44700.567650462966</v>
      </c>
      <c r="C4" t="str">
        <f t="shared" si="0"/>
        <v>Completed</v>
      </c>
    </row>
    <row r="5" spans="1:9" x14ac:dyDescent="0.35">
      <c r="A5" t="s">
        <v>5</v>
      </c>
      <c r="B5" s="2">
        <v>44718.698819444442</v>
      </c>
      <c r="C5" t="str">
        <f t="shared" si="0"/>
        <v>Completed</v>
      </c>
    </row>
    <row r="6" spans="1:9" x14ac:dyDescent="0.35">
      <c r="A6" t="s">
        <v>6</v>
      </c>
      <c r="B6" s="2"/>
      <c r="C6" t="str">
        <f t="shared" si="0"/>
        <v/>
      </c>
    </row>
    <row r="7" spans="1:9" x14ac:dyDescent="0.35">
      <c r="A7" t="s">
        <v>7</v>
      </c>
      <c r="B7" s="2">
        <v>44742.876712962963</v>
      </c>
      <c r="C7" t="str">
        <f t="shared" si="0"/>
        <v>Completed</v>
      </c>
    </row>
    <row r="8" spans="1:9" x14ac:dyDescent="0.35">
      <c r="A8" t="s">
        <v>8</v>
      </c>
      <c r="B8" s="2"/>
      <c r="C8" t="str">
        <f t="shared" si="0"/>
        <v/>
      </c>
    </row>
    <row r="9" spans="1:9" x14ac:dyDescent="0.35">
      <c r="A9" t="s">
        <v>9</v>
      </c>
      <c r="B9" s="2">
        <v>44719.58934027778</v>
      </c>
      <c r="C9" t="str">
        <f t="shared" si="0"/>
        <v>Completed</v>
      </c>
      <c r="I9" t="s">
        <v>28</v>
      </c>
    </row>
    <row r="10" spans="1:9" x14ac:dyDescent="0.35">
      <c r="A10" t="s">
        <v>10</v>
      </c>
      <c r="B10" s="2">
        <v>44754.088171296295</v>
      </c>
      <c r="C10" t="str">
        <f t="shared" si="0"/>
        <v>Completed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9BF5C-2FA5-4F9A-BE7E-9C5D31AC089E}">
  <dimension ref="A1:I7"/>
  <sheetViews>
    <sheetView workbookViewId="0">
      <selection activeCell="D2" sqref="D2"/>
    </sheetView>
  </sheetViews>
  <sheetFormatPr defaultRowHeight="14.5" x14ac:dyDescent="0.35"/>
  <cols>
    <col min="1" max="4" width="12.1796875" customWidth="1"/>
    <col min="7" max="9" width="16.54296875" customWidth="1"/>
  </cols>
  <sheetData>
    <row r="1" spans="1:9" x14ac:dyDescent="0.35">
      <c r="A1" s="3" t="s">
        <v>27</v>
      </c>
      <c r="B1" s="3" t="s">
        <v>43</v>
      </c>
      <c r="C1" s="3" t="s">
        <v>40</v>
      </c>
      <c r="D1" s="3" t="s">
        <v>11</v>
      </c>
      <c r="G1" s="3" t="s">
        <v>44</v>
      </c>
      <c r="H1" s="3" t="s">
        <v>54</v>
      </c>
      <c r="I1" s="3" t="s">
        <v>11</v>
      </c>
    </row>
    <row r="2" spans="1:9" x14ac:dyDescent="0.35">
      <c r="A2" t="s">
        <v>33</v>
      </c>
      <c r="B2" s="4">
        <v>88</v>
      </c>
      <c r="C2" s="4">
        <v>71</v>
      </c>
      <c r="D2" s="4" t="str">
        <f>IF(B2=C2, "Same score", "")</f>
        <v/>
      </c>
      <c r="G2" s="12" t="s">
        <v>45</v>
      </c>
      <c r="H2" s="12" t="s">
        <v>45</v>
      </c>
      <c r="I2" s="4" t="str">
        <f>IF(EXACT(G2, H2), "Match", "Don't match")</f>
        <v>Match</v>
      </c>
    </row>
    <row r="3" spans="1:9" x14ac:dyDescent="0.35">
      <c r="A3" t="s">
        <v>32</v>
      </c>
      <c r="B3" s="4">
        <v>61</v>
      </c>
      <c r="C3" s="4">
        <v>70</v>
      </c>
      <c r="D3" s="4" t="str">
        <f t="shared" ref="D3:D7" si="0">IF(B3=C3, "Same score", "")</f>
        <v/>
      </c>
      <c r="G3" s="12" t="s">
        <v>46</v>
      </c>
      <c r="H3" s="12" t="s">
        <v>51</v>
      </c>
      <c r="I3" s="4" t="str">
        <f t="shared" ref="I3:I7" si="1">IF(EXACT(G3, H3), "Match", "Don't match")</f>
        <v>Don't match</v>
      </c>
    </row>
    <row r="4" spans="1:9" x14ac:dyDescent="0.35">
      <c r="A4" t="s">
        <v>31</v>
      </c>
      <c r="B4" s="4">
        <v>94</v>
      </c>
      <c r="C4" s="4">
        <v>94</v>
      </c>
      <c r="D4" s="4" t="str">
        <f t="shared" si="0"/>
        <v>Same score</v>
      </c>
      <c r="G4" s="12" t="s">
        <v>53</v>
      </c>
      <c r="H4" s="12" t="s">
        <v>47</v>
      </c>
      <c r="I4" s="4" t="str">
        <f t="shared" si="1"/>
        <v>Don't match</v>
      </c>
    </row>
    <row r="5" spans="1:9" x14ac:dyDescent="0.35">
      <c r="A5" t="s">
        <v>36</v>
      </c>
      <c r="B5" s="4">
        <v>73</v>
      </c>
      <c r="C5" s="4">
        <v>86</v>
      </c>
      <c r="D5" s="4" t="str">
        <f t="shared" si="0"/>
        <v/>
      </c>
      <c r="G5" s="12" t="s">
        <v>48</v>
      </c>
      <c r="H5" s="12" t="s">
        <v>48</v>
      </c>
      <c r="I5" s="4" t="str">
        <f t="shared" si="1"/>
        <v>Match</v>
      </c>
    </row>
    <row r="6" spans="1:9" x14ac:dyDescent="0.35">
      <c r="A6" t="s">
        <v>35</v>
      </c>
      <c r="B6" s="4">
        <v>64</v>
      </c>
      <c r="C6" s="4">
        <v>98</v>
      </c>
      <c r="D6" s="4" t="str">
        <f t="shared" si="0"/>
        <v/>
      </c>
      <c r="G6" s="12" t="s">
        <v>49</v>
      </c>
      <c r="H6" s="12" t="s">
        <v>49</v>
      </c>
      <c r="I6" s="4" t="str">
        <f t="shared" si="1"/>
        <v>Match</v>
      </c>
    </row>
    <row r="7" spans="1:9" x14ac:dyDescent="0.35">
      <c r="A7" t="s">
        <v>34</v>
      </c>
      <c r="B7" s="4">
        <v>83</v>
      </c>
      <c r="C7" s="4">
        <v>83</v>
      </c>
      <c r="D7" s="4" t="str">
        <f t="shared" si="0"/>
        <v>Same score</v>
      </c>
      <c r="G7" s="12" t="s">
        <v>52</v>
      </c>
      <c r="H7" s="12" t="s">
        <v>50</v>
      </c>
      <c r="I7" s="4" t="str">
        <f t="shared" si="1"/>
        <v>Don't match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8BC2E-5F1A-4C98-B778-1DB90953DE3C}">
  <dimension ref="A1:G18"/>
  <sheetViews>
    <sheetView workbookViewId="0">
      <selection activeCell="C2" sqref="C2"/>
    </sheetView>
  </sheetViews>
  <sheetFormatPr defaultRowHeight="14.5" x14ac:dyDescent="0.35"/>
  <sheetData>
    <row r="1" spans="1:3" x14ac:dyDescent="0.35">
      <c r="A1" s="3" t="s">
        <v>27</v>
      </c>
      <c r="B1" s="3" t="s">
        <v>37</v>
      </c>
      <c r="C1" s="3" t="s">
        <v>38</v>
      </c>
    </row>
    <row r="2" spans="1:3" x14ac:dyDescent="0.35">
      <c r="A2" t="s">
        <v>33</v>
      </c>
      <c r="B2">
        <v>88</v>
      </c>
      <c r="C2">
        <f>IF(B2&gt;80, B2*7%, B2*3%)</f>
        <v>6.16</v>
      </c>
    </row>
    <row r="3" spans="1:3" x14ac:dyDescent="0.35">
      <c r="A3" t="s">
        <v>32</v>
      </c>
      <c r="B3">
        <v>61</v>
      </c>
      <c r="C3">
        <f t="shared" ref="C3:C7" si="0">IF(B3&gt;80, B3*7%, B3*3%)</f>
        <v>1.8299999999999998</v>
      </c>
    </row>
    <row r="4" spans="1:3" x14ac:dyDescent="0.35">
      <c r="A4" t="s">
        <v>31</v>
      </c>
      <c r="B4">
        <v>94</v>
      </c>
      <c r="C4">
        <f t="shared" si="0"/>
        <v>6.580000000000001</v>
      </c>
    </row>
    <row r="5" spans="1:3" x14ac:dyDescent="0.35">
      <c r="A5" t="s">
        <v>36</v>
      </c>
      <c r="B5">
        <v>73</v>
      </c>
      <c r="C5">
        <f t="shared" si="0"/>
        <v>2.19</v>
      </c>
    </row>
    <row r="6" spans="1:3" x14ac:dyDescent="0.35">
      <c r="A6" t="s">
        <v>35</v>
      </c>
      <c r="B6">
        <v>64</v>
      </c>
      <c r="C6">
        <f t="shared" si="0"/>
        <v>1.92</v>
      </c>
    </row>
    <row r="7" spans="1:3" x14ac:dyDescent="0.35">
      <c r="A7" t="s">
        <v>34</v>
      </c>
      <c r="B7">
        <v>83</v>
      </c>
      <c r="C7">
        <f t="shared" si="0"/>
        <v>5.8100000000000005</v>
      </c>
    </row>
    <row r="18" spans="7:7" x14ac:dyDescent="0.35">
      <c r="G18" t="s">
        <v>28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A3A89-6350-4BE5-B581-99C616EBDB78}">
  <dimension ref="A1:G18"/>
  <sheetViews>
    <sheetView workbookViewId="0">
      <selection activeCell="C2" sqref="C2"/>
    </sheetView>
  </sheetViews>
  <sheetFormatPr defaultRowHeight="14.5" x14ac:dyDescent="0.35"/>
  <cols>
    <col min="1" max="3" width="10.26953125" customWidth="1"/>
    <col min="4" max="4" width="13.1796875" customWidth="1"/>
    <col min="5" max="5" width="13.54296875" customWidth="1"/>
    <col min="6" max="6" width="11.453125" customWidth="1"/>
  </cols>
  <sheetData>
    <row r="1" spans="1:6" x14ac:dyDescent="0.35">
      <c r="A1" s="3" t="s">
        <v>27</v>
      </c>
      <c r="B1" s="3" t="s">
        <v>37</v>
      </c>
      <c r="C1" s="3" t="s">
        <v>38</v>
      </c>
      <c r="E1" s="6" t="s">
        <v>37</v>
      </c>
      <c r="F1" s="7" t="s">
        <v>38</v>
      </c>
    </row>
    <row r="2" spans="1:6" x14ac:dyDescent="0.35">
      <c r="A2" t="s">
        <v>33</v>
      </c>
      <c r="B2">
        <v>88</v>
      </c>
      <c r="C2" s="16">
        <f>IF(B2&gt;90, 10%, IF(B2&gt;=81, 7%, IF(B2&gt;=70, 5%, 3%)))</f>
        <v>7.0000000000000007E-2</v>
      </c>
      <c r="E2" s="8" t="s">
        <v>39</v>
      </c>
      <c r="F2" s="9">
        <v>0.1</v>
      </c>
    </row>
    <row r="3" spans="1:6" x14ac:dyDescent="0.35">
      <c r="A3" t="s">
        <v>32</v>
      </c>
      <c r="B3">
        <v>61</v>
      </c>
      <c r="C3" s="16">
        <f t="shared" ref="C3:C7" si="0">IF(B3&gt;90, 10%, IF(B3&gt;=81, 7%, IF(B3&gt;=70, 5%, 3%)))</f>
        <v>0.03</v>
      </c>
      <c r="E3" s="8" t="s">
        <v>58</v>
      </c>
      <c r="F3" s="9">
        <v>7.0000000000000007E-2</v>
      </c>
    </row>
    <row r="4" spans="1:6" x14ac:dyDescent="0.35">
      <c r="A4" t="s">
        <v>31</v>
      </c>
      <c r="B4">
        <v>94</v>
      </c>
      <c r="C4" s="16">
        <f t="shared" si="0"/>
        <v>0.1</v>
      </c>
      <c r="E4" s="8" t="s">
        <v>59</v>
      </c>
      <c r="F4" s="9">
        <v>0.05</v>
      </c>
    </row>
    <row r="5" spans="1:6" x14ac:dyDescent="0.35">
      <c r="A5" t="s">
        <v>36</v>
      </c>
      <c r="B5">
        <v>73</v>
      </c>
      <c r="C5" s="16">
        <f t="shared" si="0"/>
        <v>0.05</v>
      </c>
      <c r="E5" s="10" t="s">
        <v>60</v>
      </c>
      <c r="F5" s="11">
        <v>0.03</v>
      </c>
    </row>
    <row r="6" spans="1:6" x14ac:dyDescent="0.35">
      <c r="A6" t="s">
        <v>35</v>
      </c>
      <c r="B6">
        <v>64</v>
      </c>
      <c r="C6" s="16">
        <f t="shared" si="0"/>
        <v>0.03</v>
      </c>
    </row>
    <row r="7" spans="1:6" x14ac:dyDescent="0.35">
      <c r="A7" t="s">
        <v>34</v>
      </c>
      <c r="B7">
        <v>81</v>
      </c>
      <c r="C7" s="16">
        <f t="shared" si="0"/>
        <v>7.0000000000000007E-2</v>
      </c>
    </row>
    <row r="18" spans="7:7" x14ac:dyDescent="0.35">
      <c r="G18" t="s">
        <v>28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72C3B-1044-4032-AA48-8AEBF0172E90}">
  <dimension ref="A1:E7"/>
  <sheetViews>
    <sheetView workbookViewId="0">
      <selection activeCell="D2" sqref="D2"/>
    </sheetView>
  </sheetViews>
  <sheetFormatPr defaultRowHeight="14.5" x14ac:dyDescent="0.35"/>
  <cols>
    <col min="1" max="3" width="9.1796875" customWidth="1"/>
    <col min="4" max="5" width="16.7265625" customWidth="1"/>
  </cols>
  <sheetData>
    <row r="1" spans="1:5" x14ac:dyDescent="0.35">
      <c r="A1" s="3" t="s">
        <v>27</v>
      </c>
      <c r="B1" s="3" t="s">
        <v>43</v>
      </c>
      <c r="C1" s="3" t="s">
        <v>40</v>
      </c>
      <c r="D1" s="3" t="s">
        <v>41</v>
      </c>
      <c r="E1" s="3" t="s">
        <v>42</v>
      </c>
    </row>
    <row r="2" spans="1:5" x14ac:dyDescent="0.35">
      <c r="A2" t="s">
        <v>33</v>
      </c>
      <c r="B2" s="4">
        <v>88</v>
      </c>
      <c r="C2" s="4">
        <v>71</v>
      </c>
      <c r="D2" s="4" t="str">
        <f>IF(AND(B2&gt;80, C2&gt;80), "Pass", "Fail")</f>
        <v>Fail</v>
      </c>
      <c r="E2" s="4" t="str">
        <f>IF(OR(B2&gt;80, C2&gt;80), "Pass", "Fail")</f>
        <v>Pass</v>
      </c>
    </row>
    <row r="3" spans="1:5" x14ac:dyDescent="0.35">
      <c r="A3" t="s">
        <v>32</v>
      </c>
      <c r="B3" s="4">
        <v>61</v>
      </c>
      <c r="C3" s="4">
        <v>70</v>
      </c>
      <c r="D3" s="4" t="str">
        <f t="shared" ref="D3:D7" si="0">IF(AND(B3&gt;80, C3&gt;80), "Pass", "Fail")</f>
        <v>Fail</v>
      </c>
      <c r="E3" s="4" t="str">
        <f t="shared" ref="E3:E7" si="1">IF(OR(B3&gt;80, C3&gt;80), "Pass", "Fail")</f>
        <v>Fail</v>
      </c>
    </row>
    <row r="4" spans="1:5" x14ac:dyDescent="0.35">
      <c r="A4" t="s">
        <v>31</v>
      </c>
      <c r="B4" s="4">
        <v>94</v>
      </c>
      <c r="C4" s="4">
        <v>90</v>
      </c>
      <c r="D4" s="4" t="str">
        <f t="shared" si="0"/>
        <v>Pass</v>
      </c>
      <c r="E4" s="4" t="str">
        <f t="shared" si="1"/>
        <v>Pass</v>
      </c>
    </row>
    <row r="5" spans="1:5" x14ac:dyDescent="0.35">
      <c r="A5" t="s">
        <v>36</v>
      </c>
      <c r="B5" s="4">
        <v>73</v>
      </c>
      <c r="C5" s="4">
        <v>86</v>
      </c>
      <c r="D5" s="4" t="str">
        <f t="shared" si="0"/>
        <v>Fail</v>
      </c>
      <c r="E5" s="4" t="str">
        <f t="shared" si="1"/>
        <v>Pass</v>
      </c>
    </row>
    <row r="6" spans="1:5" x14ac:dyDescent="0.35">
      <c r="A6" t="s">
        <v>35</v>
      </c>
      <c r="B6" s="4">
        <v>64</v>
      </c>
      <c r="C6" s="4">
        <v>98</v>
      </c>
      <c r="D6" s="4" t="str">
        <f t="shared" si="0"/>
        <v>Fail</v>
      </c>
      <c r="E6" s="4" t="str">
        <f t="shared" si="1"/>
        <v>Pass</v>
      </c>
    </row>
    <row r="7" spans="1:5" x14ac:dyDescent="0.35">
      <c r="A7" t="s">
        <v>34</v>
      </c>
      <c r="B7" s="4">
        <v>83</v>
      </c>
      <c r="C7" s="4">
        <v>86</v>
      </c>
      <c r="D7" s="4" t="str">
        <f t="shared" si="0"/>
        <v>Pass</v>
      </c>
      <c r="E7" s="4" t="str">
        <f t="shared" si="1"/>
        <v>Pass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B6E61-A3AD-4195-8317-223FBFD6C8D0}">
  <dimension ref="A1:G18"/>
  <sheetViews>
    <sheetView workbookViewId="0">
      <selection activeCell="C2" sqref="C2"/>
    </sheetView>
  </sheetViews>
  <sheetFormatPr defaultRowHeight="14.5" x14ac:dyDescent="0.35"/>
  <cols>
    <col min="3" max="3" width="13.26953125" customWidth="1"/>
    <col min="5" max="5" width="12.453125" customWidth="1"/>
  </cols>
  <sheetData>
    <row r="1" spans="1:5" x14ac:dyDescent="0.35">
      <c r="A1" s="3" t="s">
        <v>27</v>
      </c>
      <c r="B1" s="3" t="s">
        <v>37</v>
      </c>
      <c r="C1" s="3" t="s">
        <v>56</v>
      </c>
      <c r="E1" s="13" t="s">
        <v>55</v>
      </c>
    </row>
    <row r="2" spans="1:5" x14ac:dyDescent="0.35">
      <c r="A2" t="s">
        <v>33</v>
      </c>
      <c r="B2">
        <v>88</v>
      </c>
      <c r="C2" s="4" t="str">
        <f>IF(ISERROR(MATCH(B2, $E$2:$E$4, 0)), "No", "Yes" )</f>
        <v>Yes</v>
      </c>
      <c r="E2" s="14">
        <f>LARGE($B$2:$B$7, 1)</f>
        <v>94</v>
      </c>
    </row>
    <row r="3" spans="1:5" x14ac:dyDescent="0.35">
      <c r="A3" t="s">
        <v>32</v>
      </c>
      <c r="B3">
        <v>61</v>
      </c>
      <c r="C3" s="4" t="str">
        <f t="shared" ref="C3:C7" si="0">IF(ISERROR(MATCH(B3, $E$2:$E$4, 0)), "No", "Yes" )</f>
        <v>No</v>
      </c>
      <c r="E3" s="14">
        <f>LARGE($B$2:$B$7, 2)</f>
        <v>88</v>
      </c>
    </row>
    <row r="4" spans="1:5" x14ac:dyDescent="0.35">
      <c r="A4" t="s">
        <v>31</v>
      </c>
      <c r="B4">
        <v>94</v>
      </c>
      <c r="C4" s="4" t="str">
        <f t="shared" si="0"/>
        <v>Yes</v>
      </c>
      <c r="E4" s="15">
        <f>LARGE($B$2:$B$7, 3)</f>
        <v>83</v>
      </c>
    </row>
    <row r="5" spans="1:5" x14ac:dyDescent="0.35">
      <c r="A5" t="s">
        <v>36</v>
      </c>
      <c r="B5">
        <v>73</v>
      </c>
      <c r="C5" s="4" t="str">
        <f t="shared" si="0"/>
        <v>No</v>
      </c>
    </row>
    <row r="6" spans="1:5" x14ac:dyDescent="0.35">
      <c r="A6" t="s">
        <v>35</v>
      </c>
      <c r="B6">
        <v>64</v>
      </c>
      <c r="C6" s="4" t="str">
        <f t="shared" si="0"/>
        <v>No</v>
      </c>
    </row>
    <row r="7" spans="1:5" x14ac:dyDescent="0.35">
      <c r="A7" t="s">
        <v>34</v>
      </c>
      <c r="B7">
        <v>83</v>
      </c>
      <c r="C7" s="4" t="str">
        <f t="shared" si="0"/>
        <v>Yes</v>
      </c>
    </row>
    <row r="18" spans="7:7" x14ac:dyDescent="0.35">
      <c r="G18" t="s">
        <v>28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Basic formula</vt:lpstr>
      <vt:lpstr>Value-if-false</vt:lpstr>
      <vt:lpstr>If negative number</vt:lpstr>
      <vt:lpstr>IF with text</vt:lpstr>
      <vt:lpstr>IF case-sensitive</vt:lpstr>
      <vt:lpstr>IF partial text</vt:lpstr>
      <vt:lpstr>IF with dates</vt:lpstr>
      <vt:lpstr>IF blank</vt:lpstr>
      <vt:lpstr>If two cells match</vt:lpstr>
      <vt:lpstr>Math operation</vt:lpstr>
      <vt:lpstr>Nested IFs </vt:lpstr>
      <vt:lpstr>Multiple conditions</vt:lpstr>
      <vt:lpstr>If error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sveta</dc:creator>
  <cp:lastModifiedBy>priyanka awaje</cp:lastModifiedBy>
  <dcterms:created xsi:type="dcterms:W3CDTF">2014-11-18T14:15:37Z</dcterms:created>
  <dcterms:modified xsi:type="dcterms:W3CDTF">2026-09-12T13:09:21Z</dcterms:modified>
</cp:coreProperties>
</file>