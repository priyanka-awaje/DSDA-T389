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C:\Users\hp\Desktop\T389\EXCEL\"/>
    </mc:Choice>
  </mc:AlternateContent>
  <xr:revisionPtr revIDLastSave="0" documentId="13_ncr:1_{51C4D583-2F0D-4965-812F-ED622365CCA7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Named Range content" sheetId="1" r:id="rId1"/>
    <sheet name="Name Range" sheetId="2" r:id="rId2"/>
    <sheet name="Example" sheetId="3" r:id="rId3"/>
    <sheet name="Global Company" sheetId="4" r:id="rId4"/>
  </sheets>
  <definedNames>
    <definedName name="abc">'Name Range'!$J$11</definedName>
    <definedName name="dept">'Name Range'!$G$4:$G$8</definedName>
    <definedName name="designation">'Name Range'!$E$4:$E$8</definedName>
    <definedName name="name">'Name Range'!$F$14</definedName>
    <definedName name="Northeast">Example!$C$5:$F$5</definedName>
    <definedName name="Northwest">Example!$C$7:$F$7</definedName>
    <definedName name="Quarter1">Example!$C$5:$C$8</definedName>
    <definedName name="Quarter2">Example!$D$5:$D$8</definedName>
    <definedName name="Quarter3">Example!$E$5:$E$8</definedName>
    <definedName name="Quarter4">Example!$F$5:$F$8</definedName>
    <definedName name="salary">'Name Range'!$F$4:$F$9</definedName>
    <definedName name="Sales_Group">Example!$C$5:$F$8</definedName>
    <definedName name="Southeast">Example!$C$6:$F$6</definedName>
    <definedName name="Southwest">Example!$C$8:$F$8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2" i="2" l="1"/>
  <c r="C9" i="3"/>
  <c r="G6" i="3"/>
  <c r="G5" i="3"/>
  <c r="D12" i="2" a="1"/>
  <c r="K17" i="2"/>
  <c r="J4" i="2" a="1"/>
  <c r="M4" i="2" a="1"/>
  <c r="J13" i="2"/>
  <c r="G17" i="2"/>
  <c r="G15" i="2"/>
  <c r="B12" i="4"/>
  <c r="B11" i="4"/>
  <c r="E9" i="4"/>
  <c r="D9" i="4"/>
  <c r="C9" i="4"/>
  <c r="B9" i="4"/>
  <c r="C11" i="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<sst xmlns="http://schemas.openxmlformats.org/spreadsheetml/2006/main" count="51" uniqueCount="41">
  <si>
    <t>Nevigating between worksheet within workbook</t>
  </si>
  <si>
    <t>ReName Range</t>
  </si>
  <si>
    <t>Delete Name range</t>
  </si>
  <si>
    <t>Create from Selection</t>
  </si>
  <si>
    <t>Use Name Range in workbook</t>
  </si>
  <si>
    <t xml:space="preserve">Name </t>
  </si>
  <si>
    <t>designation</t>
  </si>
  <si>
    <t>salary</t>
  </si>
  <si>
    <t>dept</t>
  </si>
  <si>
    <t>abc</t>
  </si>
  <si>
    <t>manager</t>
  </si>
  <si>
    <t>Accounts</t>
  </si>
  <si>
    <t>akash</t>
  </si>
  <si>
    <t>accountant</t>
  </si>
  <si>
    <t>houskeepiing</t>
  </si>
  <si>
    <t>pratik</t>
  </si>
  <si>
    <t>clerk</t>
  </si>
  <si>
    <t>mantaince</t>
  </si>
  <si>
    <t>arati</t>
  </si>
  <si>
    <t>supervisor</t>
  </si>
  <si>
    <t>front office</t>
  </si>
  <si>
    <t>deepak</t>
  </si>
  <si>
    <t>housekeeper</t>
  </si>
  <si>
    <t>Help desk</t>
  </si>
  <si>
    <t>Sales Group:</t>
  </si>
  <si>
    <t>Quarter1</t>
  </si>
  <si>
    <t>Quarter2</t>
  </si>
  <si>
    <t>Quarter3</t>
  </si>
  <si>
    <t>Quarter4</t>
  </si>
  <si>
    <t>Northeast</t>
  </si>
  <si>
    <t>Southeast</t>
  </si>
  <si>
    <t>Northwest</t>
  </si>
  <si>
    <t>Southwest</t>
  </si>
  <si>
    <t>Our Global Company</t>
  </si>
  <si>
    <t>Sales Performance, Prior Fiscal Year</t>
  </si>
  <si>
    <t>TOTAL</t>
  </si>
  <si>
    <t>East Coast Sales:</t>
  </si>
  <si>
    <t>West Coast Sales:</t>
  </si>
  <si>
    <t>itvedant</t>
  </si>
  <si>
    <t>total salary</t>
  </si>
  <si>
    <t>neeha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</si>
</sst>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6" formatCode="_(&quot;$&quot;* #,##0.00_);_(&quot;$&quot;* \(#,##0.00\);_(&quot;$&quot;* &quot;-&quot;??_);_(@_)"/>
    <numFmt numFmtId="167" formatCode="_(&quot;$&quot;* #,##0_);_(&quot;$&quot;* \(#,##0\);_(&quot;$&quot;* &quot;-&quot;??_);_(@_)"/>
  </numFmts>
  <fonts count="6">
    <font>
      <sz val="11"/>
      <color theme="1"/>
      <name val="Calibri"/>
      <charset val="134"/>
      <scheme val="minor"/>
    </font>
    <font>
      <sz val="16"/>
      <color theme="1"/>
      <name val="Calibri"/>
      <charset val="134"/>
    </font>
    <font>
      <sz val="11"/>
      <color theme="1"/>
      <name val="Calibri"/>
      <charset val="134"/>
    </font>
    <font>
      <b/>
      <sz val="11"/>
      <color theme="1"/>
      <name val="Calibri"/>
      <charset val="134"/>
    </font>
    <font>
      <sz val="14"/>
      <color theme="1"/>
      <name val="Calibri"/>
      <charset val="134"/>
    </font>
    <font>
      <sz val="20"/>
      <color theme="1"/>
      <name val="Calibri"/>
      <charset val="134"/>
    </font>
  </fonts>
  <fills count="6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rgb="FFD9E2F3"/>
        <bgColor rgb="FFD9E2F3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166" fontId="2" fillId="0" borderId="0" xfId="0" applyNumberFormat="1" applyFont="1"/>
    <xf numFmtId="0" fontId="3" fillId="2" borderId="0" xfId="0" applyFont="1" applyFill="1"/>
    <xf numFmtId="166" fontId="3" fillId="2" borderId="0" xfId="0" applyNumberFormat="1" applyFont="1" applyFill="1" applyAlignment="1">
      <alignment horizontal="center"/>
    </xf>
    <xf numFmtId="0" fontId="2" fillId="3" borderId="0" xfId="0" applyFont="1" applyFill="1"/>
    <xf numFmtId="167" fontId="2" fillId="3" borderId="0" xfId="0" applyNumberFormat="1" applyFont="1" applyFill="1"/>
    <xf numFmtId="167" fontId="2" fillId="2" borderId="0" xfId="0" applyNumberFormat="1" applyFont="1" applyFill="1"/>
    <xf numFmtId="167" fontId="0" fillId="0" borderId="0" xfId="0" applyNumberFormat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/>
    <xf numFmtId="0" fontId="0" fillId="5" borderId="0" xfId="0" applyFill="1"/>
    <xf numFmtId="0" fontId="0" fillId="4" borderId="0" xfId="0" applyFill="1"/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B1000"/>
  <sheetViews>
    <sheetView topLeftCell="A2" workbookViewId="0"/>
  </sheetViews>
  <sheetFormatPr defaultColWidth="14.453125" defaultRowHeight="15" customHeight="1"/>
  <cols>
    <col min="1" max="1" width="8.7265625" customWidth="1"/>
    <col min="2" max="2" width="84.7265625" customWidth="1"/>
    <col min="3" max="26" width="8.7265625" customWidth="1"/>
  </cols>
  <sheetData>
    <row r="4" spans="1:2" ht="26">
      <c r="A4" s="11">
        <v>1</v>
      </c>
      <c r="B4" s="11" t="s">
        <v>0</v>
      </c>
    </row>
    <row r="5" spans="1:2" ht="26">
      <c r="A5" s="11">
        <v>2</v>
      </c>
      <c r="B5" s="11" t="s">
        <v>1</v>
      </c>
    </row>
    <row r="6" spans="1:2" ht="26">
      <c r="A6" s="11">
        <v>3</v>
      </c>
      <c r="B6" s="11" t="s">
        <v>2</v>
      </c>
    </row>
    <row r="7" spans="1:2" ht="26">
      <c r="A7" s="11">
        <v>4</v>
      </c>
      <c r="B7" s="11" t="s">
        <v>3</v>
      </c>
    </row>
    <row r="8" spans="1:2" ht="26">
      <c r="A8" s="11">
        <v>5</v>
      </c>
      <c r="B8" s="11" t="s">
        <v>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D3:N1000"/>
  <sheetViews>
    <sheetView tabSelected="1" topLeftCell="A2" workbookViewId="0">
      <selection activeCell="N12" sqref="N12"/>
    </sheetView>
  </sheetViews>
  <sheetFormatPr defaultColWidth="14.453125" defaultRowHeight="15" customHeight="1"/>
  <cols>
    <col min="1" max="4" width="8.7265625" customWidth="1"/>
    <col min="5" max="5" width="19.7265625" customWidth="1"/>
    <col min="6" max="7" width="22.08984375" customWidth="1"/>
    <col min="8" max="26" width="8.7265625" customWidth="1"/>
  </cols>
  <sheetData>
    <row r="3" spans="4:14" ht="18.5">
      <c r="D3" s="9" t="s">
        <v>5</v>
      </c>
      <c r="E3" s="9" t="s">
        <v>6</v>
      </c>
      <c r="F3" s="9" t="s">
        <v>7</v>
      </c>
      <c r="G3" s="9" t="s">
        <v>8</v>
      </c>
    </row>
    <row r="4" spans="4:14" ht="18.5">
      <c r="D4" s="10" t="s">
        <v>9</v>
      </c>
      <c r="E4" s="10" t="s">
        <v>10</v>
      </c>
      <c r="F4" s="10">
        <v>50000</v>
      </c>
      <c r="G4" s="10" t="s">
        <v>11</v>
      </c>
      <c r="J4" cm="1">
        <f t="array" ref="J4:J9">salary</f>
        <v>50000</v>
      </c>
      <c r="M4" t="str" cm="1">
        <f t="array" ref="M4:M8">designation</f>
        <v>manager</v>
      </c>
    </row>
    <row r="5" spans="4:14" ht="18.5">
      <c r="D5" s="10" t="s">
        <v>12</v>
      </c>
      <c r="E5" s="10" t="s">
        <v>13</v>
      </c>
      <c r="F5" s="10">
        <v>30000</v>
      </c>
      <c r="G5" s="10" t="s">
        <v>14</v>
      </c>
      <c r="J5">
        <v>30000</v>
      </c>
      <c r="M5" t="str">
        <v>accountant</v>
      </c>
    </row>
    <row r="6" spans="4:14" ht="18.5">
      <c r="D6" s="10" t="s">
        <v>15</v>
      </c>
      <c r="E6" s="10" t="s">
        <v>16</v>
      </c>
      <c r="F6" s="10">
        <v>20000</v>
      </c>
      <c r="G6" s="10" t="s">
        <v>17</v>
      </c>
      <c r="J6">
        <v>20000</v>
      </c>
      <c r="M6" t="str">
        <v>clerk</v>
      </c>
    </row>
    <row r="7" spans="4:14" ht="18.5">
      <c r="D7" s="10" t="s">
        <v>18</v>
      </c>
      <c r="E7" s="10" t="s">
        <v>19</v>
      </c>
      <c r="F7" s="10">
        <v>18000</v>
      </c>
      <c r="G7" s="10" t="s">
        <v>20</v>
      </c>
      <c r="J7">
        <v>18000</v>
      </c>
      <c r="M7" t="str">
        <v>supervisor</v>
      </c>
    </row>
    <row r="8" spans="4:14" ht="18.5">
      <c r="D8" s="10" t="s">
        <v>21</v>
      </c>
      <c r="E8" s="10" t="s">
        <v>22</v>
      </c>
      <c r="F8" s="10">
        <v>12000</v>
      </c>
      <c r="G8" s="10" t="s">
        <v>23</v>
      </c>
      <c r="J8">
        <v>12000</v>
      </c>
      <c r="M8" t="str">
        <v>housekeeper</v>
      </c>
    </row>
    <row r="9" spans="4:14" ht="15" customHeight="1">
      <c r="D9" s="10" t="s">
        <v>40</v>
      </c>
      <c r="E9" s="10" t="s">
        <v>16</v>
      </c>
      <c r="F9" s="10">
        <v>30000</v>
      </c>
      <c r="J9">
        <v>30000</v>
      </c>
    </row>
    <row r="11" spans="4:14" ht="15" customHeight="1">
      <c r="J11">
        <v>123</v>
      </c>
    </row>
    <row r="12" spans="4:14" ht="14.5">
      <c r="D12" t="str" cm="1">
        <f t="array" ref="D12:D16">dept</f>
        <v>Accounts</v>
      </c>
      <c r="N12">
        <f>SUM(salary)</f>
        <v>160000</v>
      </c>
    </row>
    <row r="13" spans="4:14" ht="15" customHeight="1">
      <c r="D13" t="str">
        <v>houskeepiing</v>
      </c>
      <c r="J13">
        <f>abc</f>
        <v>123</v>
      </c>
    </row>
    <row r="14" spans="4:14" ht="15" customHeight="1">
      <c r="D14" t="str">
        <v>mantaince</v>
      </c>
      <c r="F14" s="12" t="s">
        <v>38</v>
      </c>
    </row>
    <row r="15" spans="4:14" ht="15" customHeight="1">
      <c r="D15" t="str">
        <v>front office</v>
      </c>
      <c r="G15" s="13" t="str">
        <f>F14</f>
        <v>itvedant</v>
      </c>
    </row>
    <row r="16" spans="4:14" ht="15" customHeight="1">
      <c r="D16" t="str">
        <v>Help desk</v>
      </c>
    </row>
    <row r="17" spans="7:11" ht="15" customHeight="1">
      <c r="G17" t="str">
        <f>name</f>
        <v>itvedant</v>
      </c>
      <c r="J17" t="s">
        <v>39</v>
      </c>
      <c r="K17">
        <f>SUM(salary)</f>
        <v>160000</v>
      </c>
    </row>
    <row r="21" spans="7:11" ht="15.75" customHeight="1"/>
    <row r="22" spans="7:11" ht="15.75" customHeight="1"/>
    <row r="23" spans="7:11" ht="15.75" customHeight="1"/>
    <row r="24" spans="7:11" ht="15.75" customHeight="1"/>
    <row r="25" spans="7:11" ht="15.75" customHeight="1"/>
    <row r="26" spans="7:11" ht="15.75" customHeight="1"/>
    <row r="27" spans="7:11" ht="15.75" customHeight="1"/>
    <row r="28" spans="7:11" ht="15.75" customHeight="1"/>
    <row r="29" spans="7:11" ht="15.75" customHeight="1"/>
    <row r="30" spans="7:11" ht="15.75" customHeight="1"/>
    <row r="31" spans="7:11" ht="15.75" customHeight="1"/>
    <row r="32" spans="7:1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4:G1000"/>
  <sheetViews>
    <sheetView topLeftCell="A4" zoomScale="144" zoomScaleNormal="144" workbookViewId="0">
      <selection activeCell="C10" sqref="C10"/>
    </sheetView>
  </sheetViews>
  <sheetFormatPr defaultColWidth="14.453125" defaultRowHeight="15" customHeight="1"/>
  <cols>
    <col min="1" max="1" width="8.7265625" customWidth="1"/>
    <col min="2" max="2" width="13.81640625" customWidth="1"/>
    <col min="3" max="6" width="10.7265625" customWidth="1"/>
    <col min="7" max="26" width="8.7265625" customWidth="1"/>
  </cols>
  <sheetData>
    <row r="4" spans="2:7" ht="14.5">
      <c r="B4" s="3" t="s">
        <v>24</v>
      </c>
      <c r="C4" t="s">
        <v>25</v>
      </c>
      <c r="D4" t="s">
        <v>26</v>
      </c>
      <c r="E4" t="s">
        <v>27</v>
      </c>
      <c r="F4" t="s">
        <v>28</v>
      </c>
    </row>
    <row r="5" spans="2:7" ht="14.5">
      <c r="B5" s="5" t="s">
        <v>29</v>
      </c>
      <c r="C5">
        <v>1259</v>
      </c>
      <c r="D5">
        <v>1345</v>
      </c>
      <c r="E5">
        <v>2430</v>
      </c>
      <c r="F5">
        <v>2314</v>
      </c>
      <c r="G5">
        <f>SUM(Northeast)</f>
        <v>7348</v>
      </c>
    </row>
    <row r="6" spans="2:7" ht="14.5">
      <c r="B6" s="5" t="s">
        <v>30</v>
      </c>
      <c r="C6">
        <v>1536</v>
      </c>
      <c r="D6">
        <v>2301</v>
      </c>
      <c r="E6">
        <v>1834</v>
      </c>
      <c r="F6">
        <v>2543</v>
      </c>
      <c r="G6">
        <f>SUM(Southeast)</f>
        <v>8214</v>
      </c>
    </row>
    <row r="7" spans="2:7" ht="14.5">
      <c r="B7" s="5" t="s">
        <v>31</v>
      </c>
      <c r="C7">
        <v>1945</v>
      </c>
      <c r="D7">
        <v>3012</v>
      </c>
      <c r="E7">
        <v>2315</v>
      </c>
      <c r="F7">
        <v>3126</v>
      </c>
    </row>
    <row r="8" spans="2:7" ht="14.5">
      <c r="B8" s="5" t="s">
        <v>32</v>
      </c>
      <c r="C8">
        <v>1385</v>
      </c>
      <c r="D8">
        <v>1945</v>
      </c>
      <c r="E8">
        <v>2301</v>
      </c>
      <c r="F8">
        <v>3294</v>
      </c>
    </row>
    <row r="9" spans="2:7" ht="14.5">
      <c r="C9">
        <f>SUM(Quarter1)</f>
        <v>6125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000"/>
  <sheetViews>
    <sheetView workbookViewId="0"/>
  </sheetViews>
  <sheetFormatPr defaultColWidth="14.453125" defaultRowHeight="15" customHeight="1"/>
  <cols>
    <col min="1" max="1" width="21" customWidth="1"/>
    <col min="2" max="4" width="12.7265625" customWidth="1"/>
    <col min="5" max="5" width="13.7265625" customWidth="1"/>
    <col min="6" max="6" width="5.453125" customWidth="1"/>
    <col min="7" max="26" width="8.7265625" customWidth="1"/>
  </cols>
  <sheetData>
    <row r="1" spans="1:6" ht="21">
      <c r="A1" s="1" t="s">
        <v>33</v>
      </c>
      <c r="B1" s="2"/>
      <c r="C1" s="2"/>
      <c r="D1" s="2"/>
      <c r="E1" s="2"/>
      <c r="F1" s="2"/>
    </row>
    <row r="2" spans="1:6" ht="14.5">
      <c r="A2" t="s">
        <v>34</v>
      </c>
      <c r="B2" s="2"/>
      <c r="C2" s="2"/>
      <c r="D2" s="2"/>
      <c r="E2" s="2"/>
      <c r="F2" s="2"/>
    </row>
    <row r="3" spans="1:6" ht="14.5">
      <c r="B3" s="2"/>
      <c r="C3" s="2"/>
      <c r="D3" s="2"/>
      <c r="E3" s="2"/>
      <c r="F3" s="2"/>
    </row>
    <row r="4" spans="1:6" ht="14.5">
      <c r="A4" s="3" t="s">
        <v>24</v>
      </c>
      <c r="B4" s="4" t="s">
        <v>25</v>
      </c>
      <c r="C4" s="4" t="s">
        <v>26</v>
      </c>
      <c r="D4" s="4" t="s">
        <v>27</v>
      </c>
      <c r="E4" s="4" t="s">
        <v>28</v>
      </c>
    </row>
    <row r="5" spans="1:6" ht="14.5">
      <c r="A5" s="5" t="s">
        <v>29</v>
      </c>
      <c r="B5" s="6">
        <v>1259</v>
      </c>
      <c r="C5" s="6">
        <v>1345</v>
      </c>
      <c r="D5" s="6">
        <v>2430</v>
      </c>
      <c r="E5" s="6">
        <v>2314</v>
      </c>
    </row>
    <row r="6" spans="1:6" ht="14.5">
      <c r="A6" s="5" t="s">
        <v>30</v>
      </c>
      <c r="B6" s="6">
        <v>1536</v>
      </c>
      <c r="C6" s="6">
        <v>2301</v>
      </c>
      <c r="D6" s="6">
        <v>1834</v>
      </c>
      <c r="E6" s="6">
        <v>2543</v>
      </c>
    </row>
    <row r="7" spans="1:6" ht="14.5">
      <c r="A7" s="5" t="s">
        <v>31</v>
      </c>
      <c r="B7" s="6">
        <v>1945</v>
      </c>
      <c r="C7" s="6">
        <v>3012</v>
      </c>
      <c r="D7" s="6">
        <v>2315</v>
      </c>
      <c r="E7" s="6">
        <v>3126</v>
      </c>
    </row>
    <row r="8" spans="1:6" ht="14.5">
      <c r="A8" s="5" t="s">
        <v>32</v>
      </c>
      <c r="B8" s="6">
        <v>1385</v>
      </c>
      <c r="C8" s="6">
        <v>1945</v>
      </c>
      <c r="D8" s="6">
        <v>2301</v>
      </c>
      <c r="E8" s="6">
        <v>3294</v>
      </c>
    </row>
    <row r="9" spans="1:6" ht="14.5">
      <c r="A9" s="3" t="s">
        <v>35</v>
      </c>
      <c r="B9" s="7">
        <f>SUM(Quarter1)</f>
        <v>6125</v>
      </c>
      <c r="C9" s="7">
        <f>SUM(Quarter1)</f>
        <v>6125</v>
      </c>
      <c r="D9" s="7">
        <f>SUM(Quarter1)</f>
        <v>6125</v>
      </c>
      <c r="E9" s="7">
        <f>SUM(Quarter1)</f>
        <v>6125</v>
      </c>
    </row>
    <row r="10" spans="1:6" ht="14.5">
      <c r="B10" s="2"/>
    </row>
    <row r="11" spans="1:6" ht="14.5">
      <c r="A11" s="5" t="s">
        <v>36</v>
      </c>
      <c r="B11" s="2">
        <f>SUM(Southeast,Southwest)</f>
        <v>17139</v>
      </c>
      <c r="C11" s="8">
        <f>SUM(B9,E9)</f>
        <v>12250</v>
      </c>
    </row>
    <row r="12" spans="1:6" ht="14.5">
      <c r="A12" s="5" t="s">
        <v>37</v>
      </c>
      <c r="B12" s="2">
        <f>SUM(Northwest,Southwest)</f>
        <v>19323</v>
      </c>
    </row>
    <row r="13" spans="1:6" ht="14.5">
      <c r="B13" s="2"/>
    </row>
    <row r="14" spans="1:6" ht="14.5">
      <c r="B14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14</vt:i4>
      </vt:variant>
    </vt:vector>
  </HeadingPairs>
  <TitlesOfParts>
    <vt:vector size="18" baseType="lpstr">
      <vt:lpstr>Named Range content</vt:lpstr>
      <vt:lpstr>Name Range</vt:lpstr>
      <vt:lpstr>Example</vt:lpstr>
      <vt:lpstr>Global Company</vt:lpstr>
      <vt:lpstr>abc</vt:lpstr>
      <vt:lpstr>dept</vt:lpstr>
      <vt:lpstr>designation</vt:lpstr>
      <vt:lpstr>name</vt:lpstr>
      <vt:lpstr>Northeast</vt:lpstr>
      <vt:lpstr>Northwest</vt:lpstr>
      <vt:lpstr>Quarter1</vt:lpstr>
      <vt:lpstr>Quarter2</vt:lpstr>
      <vt:lpstr>Quarter3</vt:lpstr>
      <vt:lpstr>Quarter4</vt:lpstr>
      <vt:lpstr>salary</vt:lpstr>
      <vt:lpstr>Sales_Group</vt:lpstr>
      <vt:lpstr>Southeast</vt:lpstr>
      <vt:lpstr>Southwest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Nitin</dc:creator>
  <cp:lastModifiedBy>priyanka awaje</cp:lastModifiedBy>
  <dcterms:created xsi:type="dcterms:W3CDTF">2022-04-17T05:31:00Z</dcterms:created>
  <dcterms:modified xsi:type="dcterms:W3CDTF">2026-08-26T12:25:45Z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0A40B2B8B23C4F819A6514177C24414A_12</vt:lpwstr>
  </property>
  <property fmtid="{D5CDD505-2E9C-101B-9397-08002B2CF9AE}" pid="3" name="KSOProductBuildVer">
    <vt:lpwstr>1033-12.2.0.17119</vt:lpwstr>
  </property>
</Properties>
</file>